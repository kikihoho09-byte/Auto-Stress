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PV신뢰성\2025년 모델\QLED\"/>
    </mc:Choice>
  </mc:AlternateContent>
  <bookViews>
    <workbookView xWindow="0" yWindow="0" windowWidth="28800" windowHeight="12270"/>
  </bookViews>
  <sheets>
    <sheet name="L75SA9NA_FDY" sheetId="3" r:id="rId1"/>
    <sheet name="Sheet1" sheetId="4" r:id="rId2"/>
  </sheets>
  <definedNames>
    <definedName name="_xlnm._FilterDatabase" localSheetId="0" hidden="1">L75SA9NA_FDY!$A$7:$I$524</definedName>
    <definedName name="_xlnm.Print_Area" localSheetId="0">L75SA9NA_FDY!$A$1:$I$524</definedName>
  </definedNames>
  <calcPr calcId="152511"/>
</workbook>
</file>

<file path=xl/calcChain.xml><?xml version="1.0" encoding="utf-8"?>
<calcChain xmlns="http://schemas.openxmlformats.org/spreadsheetml/2006/main">
  <c r="H186" i="3" l="1"/>
  <c r="H513" i="3" l="1"/>
  <c r="H136" i="3" l="1"/>
  <c r="H128" i="3"/>
  <c r="H116" i="3"/>
  <c r="H108" i="3"/>
  <c r="H98" i="3"/>
  <c r="H10" i="3"/>
  <c r="H80" i="3" l="1"/>
  <c r="H82" i="3" l="1"/>
  <c r="H26" i="3" l="1"/>
  <c r="H24" i="3"/>
  <c r="H22" i="3"/>
  <c r="H20" i="3"/>
  <c r="H14" i="3"/>
  <c r="H12" i="3"/>
  <c r="H8" i="3"/>
  <c r="H433" i="3" l="1"/>
  <c r="H442" i="3"/>
  <c r="H403" i="3" l="1"/>
  <c r="H355" i="3" l="1"/>
  <c r="H358" i="3" l="1"/>
  <c r="H202" i="3" l="1"/>
  <c r="H313" i="3"/>
  <c r="H262" i="3"/>
  <c r="H448" i="3"/>
  <c r="H322" i="3"/>
  <c r="H491" i="3"/>
  <c r="H328" i="3" l="1"/>
  <c r="H304" i="3"/>
  <c r="H385" i="3"/>
  <c r="H331" i="3"/>
  <c r="H178" i="3"/>
  <c r="H182" i="3"/>
  <c r="H487" i="3" l="1"/>
  <c r="H469" i="3" l="1"/>
  <c r="H70" i="3" l="1"/>
  <c r="H48" i="3" l="1"/>
  <c r="H62" i="3"/>
  <c r="H146" i="3" l="1"/>
  <c r="H144" i="3"/>
  <c r="H515" i="3" l="1"/>
  <c r="H265" i="3" l="1"/>
  <c r="H44" i="3" l="1"/>
  <c r="H68" i="3" l="1"/>
  <c r="H66" i="3" l="1"/>
  <c r="H421" i="3"/>
  <c r="H247" i="3"/>
  <c r="H229" i="3"/>
  <c r="H226" i="3"/>
  <c r="H445" i="3" l="1"/>
  <c r="H337" i="3"/>
  <c r="H174" i="3"/>
  <c r="H84" i="3" l="1"/>
  <c r="H124" i="3" l="1"/>
  <c r="H152" i="3" l="1"/>
  <c r="H64" i="3"/>
  <c r="H199" i="3" l="1"/>
  <c r="H289" i="3" l="1"/>
  <c r="H507" i="3" l="1"/>
  <c r="H214" i="3" l="1"/>
  <c r="H188" i="3" l="1"/>
  <c r="H409" i="3" l="1"/>
  <c r="H397" i="3"/>
  <c r="H211" i="3"/>
  <c r="H382" i="3" l="1"/>
  <c r="H122" i="3" l="1"/>
  <c r="H120" i="3"/>
  <c r="H118" i="3"/>
  <c r="H76" i="3"/>
  <c r="H74" i="3"/>
  <c r="H72" i="3"/>
  <c r="H361" i="3" l="1"/>
  <c r="H370" i="3"/>
  <c r="H430" i="3"/>
  <c r="H42" i="3" l="1"/>
  <c r="H164" i="3" l="1"/>
  <c r="H503" i="3" l="1"/>
  <c r="H505" i="3"/>
  <c r="H511" i="3" l="1"/>
  <c r="H250" i="3"/>
  <c r="H150" i="3" l="1"/>
  <c r="H196" i="3" l="1"/>
  <c r="H238" i="3"/>
  <c r="H220" i="3"/>
  <c r="H460" i="3"/>
  <c r="H277" i="3"/>
  <c r="H295" i="3"/>
  <c r="H379" i="3"/>
  <c r="H400" i="3"/>
  <c r="H373" i="3" l="1"/>
  <c r="H523" i="3" l="1"/>
  <c r="H519" i="3"/>
  <c r="H521" i="3"/>
  <c r="H509" i="3"/>
  <c r="H517" i="3"/>
  <c r="H499" i="3"/>
  <c r="H497" i="3"/>
  <c r="H483" i="3"/>
  <c r="H485" i="3"/>
  <c r="H489" i="3"/>
  <c r="H481" i="3"/>
  <c r="H475" i="3"/>
  <c r="H477" i="3"/>
  <c r="H472" i="3"/>
  <c r="H466" i="3"/>
  <c r="H463" i="3"/>
  <c r="H439" i="3"/>
  <c r="H451" i="3"/>
  <c r="H454" i="3"/>
  <c r="H457" i="3"/>
  <c r="H427" i="3"/>
  <c r="H436" i="3"/>
  <c r="H412" i="3"/>
  <c r="H415" i="3"/>
  <c r="H418" i="3"/>
  <c r="H424" i="3"/>
  <c r="H406" i="3"/>
  <c r="H394" i="3"/>
  <c r="H388" i="3"/>
  <c r="H391" i="3"/>
  <c r="H376" i="3"/>
  <c r="H364" i="3"/>
  <c r="H367" i="3"/>
  <c r="H343" i="3"/>
  <c r="H346" i="3"/>
  <c r="H349" i="3"/>
  <c r="H352" i="3"/>
  <c r="H334" i="3"/>
  <c r="H340" i="3"/>
  <c r="H316" i="3"/>
  <c r="H319" i="3"/>
  <c r="H325" i="3"/>
  <c r="H307" i="3"/>
  <c r="H310" i="3"/>
  <c r="H292" i="3"/>
  <c r="H298" i="3"/>
  <c r="H301" i="3"/>
  <c r="H283" i="3"/>
  <c r="H286" i="3"/>
  <c r="H280" i="3"/>
  <c r="H268" i="3"/>
  <c r="H271" i="3"/>
  <c r="H274" i="3"/>
  <c r="H253" i="3"/>
  <c r="H256" i="3"/>
  <c r="H259" i="3"/>
  <c r="H244" i="3"/>
  <c r="H235" i="3"/>
  <c r="H241" i="3"/>
  <c r="H217" i="3"/>
  <c r="H223" i="3"/>
  <c r="H232" i="3"/>
  <c r="H205" i="3"/>
  <c r="H208" i="3"/>
  <c r="H193" i="3"/>
  <c r="H190" i="3"/>
  <c r="H184" i="3"/>
  <c r="H170" i="3"/>
  <c r="H172" i="3"/>
  <c r="H176" i="3"/>
  <c r="H180" i="3"/>
  <c r="H156" i="3"/>
  <c r="H158" i="3"/>
  <c r="H160" i="3"/>
  <c r="H162" i="3"/>
  <c r="H166" i="3"/>
  <c r="H168" i="3"/>
  <c r="H148" i="3"/>
  <c r="H154" i="3"/>
  <c r="H138" i="3"/>
  <c r="H140" i="3"/>
  <c r="H142" i="3"/>
  <c r="H130" i="3"/>
  <c r="H132" i="3"/>
  <c r="H110" i="3"/>
  <c r="H112" i="3"/>
  <c r="H100" i="3"/>
  <c r="H102" i="3"/>
  <c r="H104" i="3"/>
  <c r="H88" i="3"/>
  <c r="H90" i="3"/>
  <c r="H92" i="3"/>
  <c r="H94" i="3"/>
  <c r="H78" i="3"/>
  <c r="H501" i="3"/>
  <c r="H86" i="3"/>
  <c r="H493" i="3"/>
  <c r="H495" i="3"/>
  <c r="H58" i="3"/>
  <c r="H60" i="3"/>
  <c r="H46" i="3"/>
  <c r="H50" i="3"/>
  <c r="H52" i="3"/>
  <c r="H54" i="3"/>
  <c r="H56" i="3"/>
  <c r="H34" i="3"/>
</calcChain>
</file>

<file path=xl/sharedStrings.xml><?xml version="1.0" encoding="utf-8"?>
<sst xmlns="http://schemas.openxmlformats.org/spreadsheetml/2006/main" count="2665" uniqueCount="1979">
  <si>
    <t>제품명</t>
  </si>
  <si>
    <t>모델명</t>
  </si>
  <si>
    <t>작성자</t>
  </si>
  <si>
    <t>NO.</t>
  </si>
  <si>
    <t>Q'TY</t>
  </si>
  <si>
    <t>VENDOR</t>
  </si>
  <si>
    <t>CODE</t>
  </si>
  <si>
    <t>공정</t>
  </si>
  <si>
    <t>KEC</t>
  </si>
  <si>
    <t>WALSIN</t>
  </si>
  <si>
    <t>스마트전자</t>
  </si>
  <si>
    <t>삼화콘덴서공업</t>
  </si>
  <si>
    <t>750R;2W;5%;T/P;AXIAL;52MM</t>
  </si>
  <si>
    <t>60V 300mA SOT-23</t>
  </si>
  <si>
    <t>1/10W;100KΩ;F;1608</t>
  </si>
  <si>
    <t>R-CHIP;1608 2KΩ F</t>
  </si>
  <si>
    <t>2KΩ;1/10W;F;1608;</t>
  </si>
  <si>
    <t>AXIAL TYPE</t>
  </si>
  <si>
    <t>한백하이테크</t>
  </si>
  <si>
    <t>보성전자</t>
  </si>
  <si>
    <t>600V;5A;SMB;H2;M2;</t>
  </si>
  <si>
    <t>SENSITRON (SMC)</t>
  </si>
  <si>
    <t>TECSTAR</t>
  </si>
  <si>
    <t>SUNLORD</t>
  </si>
  <si>
    <t>600V;±20%;TP;AXIAL;52mm;Coated with color ink;</t>
  </si>
  <si>
    <t>우성전자</t>
  </si>
  <si>
    <t>600V;±20%;TP;AXIAL;52mm;Black Color Coating;</t>
  </si>
  <si>
    <t>SMPS</t>
    <phoneticPr fontId="2" type="noConversion"/>
  </si>
  <si>
    <t>R-CHIP;1608 10Ω F</t>
  </si>
  <si>
    <t>R-CHIP3216 56Ω F</t>
  </si>
  <si>
    <t>0.056KΩ;1/4W;±1%;3216;</t>
  </si>
  <si>
    <t>R-CHIP;3216 47Ω F</t>
  </si>
  <si>
    <t>47Ω;1/4W;F;3216;</t>
  </si>
  <si>
    <t>R CHIP]3216 51Ω F</t>
  </si>
  <si>
    <t>1/4W 51Ω F 3216</t>
  </si>
  <si>
    <t>SEMTECH</t>
  </si>
  <si>
    <t>SMD</t>
  </si>
  <si>
    <t>VIKING</t>
  </si>
  <si>
    <t>YAGEO</t>
  </si>
  <si>
    <t>MQAAG090280</t>
  </si>
  <si>
    <t>R-CHIPCR-03FL7-10K</t>
  </si>
  <si>
    <t>10KΩ;1/10W;1%;1608;</t>
  </si>
  <si>
    <t>MQAAG096020</t>
  </si>
  <si>
    <t>R-CHIP;CR-03FL7-2K2</t>
  </si>
  <si>
    <t>2.2KΩ;1/10W;1%;1608;</t>
  </si>
  <si>
    <t>MQAAG089280</t>
  </si>
  <si>
    <t>1/10W 4.7KΩ F 1608</t>
  </si>
  <si>
    <t>MQAAG065260</t>
  </si>
  <si>
    <t>R CHIP]CR-03 FL7 15K</t>
  </si>
  <si>
    <t>1/10W 15KΩ F 1608</t>
  </si>
  <si>
    <t>MQAAG090780</t>
  </si>
  <si>
    <t>R-CHIPCR-03FL7-20K</t>
  </si>
  <si>
    <t>20KΩ;1/10W;1%;1608</t>
  </si>
  <si>
    <t>MQAAG089220</t>
  </si>
  <si>
    <t>1/10W 30KΩ F 1608</t>
  </si>
  <si>
    <t>MQAAG092970</t>
  </si>
  <si>
    <t>R CHIP;CR-03FL7-36K</t>
  </si>
  <si>
    <t>36KΩ;1/10W;1%;1608;</t>
  </si>
  <si>
    <t>MQAAG091410</t>
  </si>
  <si>
    <t>47KΩ;1/10W;1%;R;</t>
  </si>
  <si>
    <t>MQAAG089530</t>
  </si>
  <si>
    <t>R CHIP]CR-03FL7-100K</t>
  </si>
  <si>
    <t>1/10W 100KΩ F 1608</t>
  </si>
  <si>
    <t>MQAAG089270</t>
  </si>
  <si>
    <t>R CHIP]CR-03FL7-240K</t>
  </si>
  <si>
    <t>1/10W 240KΩ F 1608</t>
  </si>
  <si>
    <t>MQAAG090840</t>
  </si>
  <si>
    <t>1MΩ;1/10W;1%;1608</t>
  </si>
  <si>
    <t>0.047KΩ;1/4W;1%;3216;</t>
  </si>
  <si>
    <t>MQAAG103270</t>
  </si>
  <si>
    <t>MQAAG096980</t>
  </si>
  <si>
    <t>R-CHIP;CR-06FL7-51R</t>
  </si>
  <si>
    <t>0.051KΩ;1/4W;1%;3216;</t>
  </si>
  <si>
    <t>MQAAG102690</t>
  </si>
  <si>
    <t>R-CHIP;CR-06FL7-10R</t>
  </si>
  <si>
    <t>0.01KΩ;1/4W;1%;3216;</t>
  </si>
  <si>
    <t>MQAAG103110</t>
  </si>
  <si>
    <t>3.6KΩ;1/4W;1%;3216;</t>
  </si>
  <si>
    <t>MQAAG103120</t>
  </si>
  <si>
    <t>4.7KΩ;1/4W;1%;3216;</t>
  </si>
  <si>
    <t>MQAAG103130</t>
  </si>
  <si>
    <t>R-CHIP;CR-06FL7-5K6</t>
  </si>
  <si>
    <t>5.6KΩ;1/4W;1%;3216;</t>
  </si>
  <si>
    <t>MQAAG103290</t>
  </si>
  <si>
    <t>R-CHIP;CR-06FL7-9K1</t>
  </si>
  <si>
    <t>9.1KΩ;1/4W;1%;3216;</t>
  </si>
  <si>
    <t>MQAAG103190</t>
  </si>
  <si>
    <t>36KΩ;1/4W;1%;3216;</t>
  </si>
  <si>
    <t>MQAAG094310</t>
  </si>
  <si>
    <t>R-CHIP;CR-06FL7-2M</t>
  </si>
  <si>
    <t>2000KΩ;1/4W;1%;3216;</t>
  </si>
  <si>
    <t>TAI</t>
  </si>
  <si>
    <t>MQAAG103360</t>
  </si>
  <si>
    <t>0.0022KΩ;1/4W;5%;3216(SURGE);</t>
  </si>
  <si>
    <t>R-CHIP;SWR06JTFO4R70</t>
  </si>
  <si>
    <t>MQAAG103350</t>
  </si>
  <si>
    <t>0.0047KΩ;1/4W;5%;3216(SURGE);</t>
  </si>
  <si>
    <t>MQAAG103340</t>
  </si>
  <si>
    <t>R-CHIP;RAS12JTN2R2</t>
  </si>
  <si>
    <t>MQAAG103330</t>
  </si>
  <si>
    <t>R-CHIP;RAS12JTN4R7</t>
  </si>
  <si>
    <t>MQAAG088300</t>
  </si>
  <si>
    <t>R CHIP]CR-06 JL7 0</t>
  </si>
  <si>
    <t>MQAAG103070</t>
  </si>
  <si>
    <t>1KΩ;1/4W;1%;3216;</t>
  </si>
  <si>
    <t>MQAAG099400</t>
  </si>
  <si>
    <t>R-CHIP;RM12JTN0</t>
  </si>
  <si>
    <t>0KΩ;1/4W;5%;3216;</t>
  </si>
  <si>
    <t>MQCAD032460</t>
  </si>
  <si>
    <t>C-MLC;CS0603JRNPO9BN101</t>
  </si>
  <si>
    <t>50V;0.0001uF;J;1608mm;C0G Crack강화;</t>
  </si>
  <si>
    <t>MQCAD032470</t>
  </si>
  <si>
    <t>C-MLC;CS0603KRX7R9BB104</t>
  </si>
  <si>
    <t>50V;0.1uF;K;1608mm;X7R Crack강화;</t>
  </si>
  <si>
    <t>MQCAD032570</t>
  </si>
  <si>
    <t>C-MLC;CS0603JRNPO9BN470</t>
  </si>
  <si>
    <t>50V;0.000047uF;J;1608mm;C0G Crack강화;</t>
  </si>
  <si>
    <t>MQCAD032430</t>
  </si>
  <si>
    <t>C-MLC;CS0805KKX7R8BB224</t>
  </si>
  <si>
    <t>50V;0.22uF;K;2012mm;X7R(CRACK강화);</t>
  </si>
  <si>
    <t>0.22KΩ;1/10W;1%;1608;</t>
  </si>
  <si>
    <t>MQAAG103830</t>
  </si>
  <si>
    <t>R-CHIP;CR-03FL7-220R</t>
  </si>
  <si>
    <t>MQAAG029580</t>
  </si>
  <si>
    <t>1/10W 470KΩ F 1608</t>
  </si>
  <si>
    <t>MQAAG103540</t>
  </si>
  <si>
    <t>0.015KΩ;1/4W;1%;3216;</t>
  </si>
  <si>
    <t>MQAAG103740</t>
  </si>
  <si>
    <t>R-CHIP;CR-06FL7-56R</t>
  </si>
  <si>
    <t>0.056KΩ;1/4W;1%;3216;</t>
  </si>
  <si>
    <t>MQAAG103800</t>
  </si>
  <si>
    <t>R-CHIP;CR-06FL7-910R</t>
  </si>
  <si>
    <t>0.91KΩ;1/4W;1%;3216;</t>
  </si>
  <si>
    <t>MQAAG103750</t>
  </si>
  <si>
    <t>R-CHIP;CR-06FL7-6K2</t>
  </si>
  <si>
    <t>6.2KΩ;1/4W;1%;3216;</t>
  </si>
  <si>
    <t>MQAAG103780</t>
  </si>
  <si>
    <t>R-CHIP;CR-06FL7-8K2</t>
  </si>
  <si>
    <t>8.2KΩ;1/4W;1%;3216;</t>
  </si>
  <si>
    <t>MQAAG103590</t>
  </si>
  <si>
    <t>20KΩ;1/4W;1%;3216;</t>
  </si>
  <si>
    <t>MQAAG103670</t>
  </si>
  <si>
    <t>30KΩ;1/4W;1%;3216;</t>
  </si>
  <si>
    <t>MQAAG103680</t>
  </si>
  <si>
    <t>R-CHIP;CR-06FL7-33K</t>
  </si>
  <si>
    <t>33KΩ;1/4W;1%;3216;</t>
  </si>
  <si>
    <t>MQAAG103770</t>
  </si>
  <si>
    <t>R-CHIP;CR-06FL7-82K</t>
  </si>
  <si>
    <t>82KΩ;1/4W;1%;3216;</t>
  </si>
  <si>
    <t>R-CHIP;CR-06FL7-750K</t>
  </si>
  <si>
    <t>750KΩ;1/4W;1%;3216;</t>
  </si>
  <si>
    <t>50V;0.01uF;K;1608mm;X7R(CRACK강화);</t>
  </si>
  <si>
    <t xml:space="preserve">BOX </t>
  </si>
  <si>
    <t xml:space="preserve">SOLDER WIRE </t>
  </si>
  <si>
    <t>수삽</t>
  </si>
  <si>
    <t>SK-5;0.3T;13.7*5.1*11.4mm;Sn;</t>
  </si>
  <si>
    <t>BUSSMANN</t>
  </si>
  <si>
    <t>연호전자</t>
  </si>
  <si>
    <t>동일기연</t>
  </si>
  <si>
    <t>HEAT SINK</t>
  </si>
  <si>
    <t xml:space="preserve">COMPOUND </t>
  </si>
  <si>
    <t>SCREW-TAPTITE</t>
  </si>
  <si>
    <t>PNP;-60V;-24A;43000mW;TO-220FL;H1C;N/A;</t>
  </si>
  <si>
    <t>80V;20A;ITO-220AB;BK;ST;2.55mm;H2;N/A;</t>
  </si>
  <si>
    <t>1/4W 180Ω F 3216</t>
  </si>
  <si>
    <t>250V;10A;12V;1ea;23.8X9.5X24.5mm;</t>
  </si>
  <si>
    <t>CIRCUIT PROTECTION PTC;BSC020</t>
  </si>
  <si>
    <t>3.5Ω;SMD;2012mm;</t>
  </si>
  <si>
    <t>바일테크놀러지</t>
  </si>
  <si>
    <t>0.8Phi,Flux3~4%,Sn-0.7Cu-0.01P　 ;</t>
    <phoneticPr fontId="2" type="noConversion"/>
  </si>
  <si>
    <t>MQAAG105690</t>
    <phoneticPr fontId="2" type="noConversion"/>
  </si>
  <si>
    <t>자삽
AXIAL</t>
    <phoneticPr fontId="2" type="noConversion"/>
  </si>
  <si>
    <t>NC</t>
    <phoneticPr fontId="2" type="noConversion"/>
  </si>
  <si>
    <t>REV</t>
    <phoneticPr fontId="4" type="noConversion"/>
  </si>
  <si>
    <t>CODE</t>
    <phoneticPr fontId="4" type="noConversion"/>
  </si>
  <si>
    <t>작성일</t>
    <phoneticPr fontId="2" type="noConversion"/>
  </si>
  <si>
    <t>LOCATION</t>
    <phoneticPr fontId="2" type="noConversion"/>
  </si>
  <si>
    <t>DESCRIPTION</t>
    <phoneticPr fontId="4" type="noConversion"/>
  </si>
  <si>
    <t>PART NO.</t>
    <phoneticPr fontId="4" type="noConversion"/>
  </si>
  <si>
    <t>SPECIFICATION</t>
    <phoneticPr fontId="4" type="noConversion"/>
  </si>
  <si>
    <t>SOLDER WIRE;HSE-04</t>
    <phoneticPr fontId="2" type="noConversion"/>
  </si>
  <si>
    <t>SR34-SUPER(LFM32 3.5%);.0.8Phi</t>
    <phoneticPr fontId="2" type="noConversion"/>
  </si>
  <si>
    <t>희성소재</t>
    <phoneticPr fontId="2" type="noConversion"/>
  </si>
  <si>
    <t>SOLDER WIRE;LFC7-107(0.8mm)</t>
    <phoneticPr fontId="2" type="noConversion"/>
  </si>
  <si>
    <t>비엔에프코퍼레이션</t>
    <phoneticPr fontId="2" type="noConversion"/>
  </si>
  <si>
    <t xml:space="preserve">SOLDER WIRE </t>
    <phoneticPr fontId="2" type="noConversion"/>
  </si>
  <si>
    <t>MFBAB001020</t>
    <phoneticPr fontId="2" type="noConversion"/>
  </si>
  <si>
    <t>SOLDER WIRE;HSE-01A</t>
    <phoneticPr fontId="2" type="noConversion"/>
  </si>
  <si>
    <t>;0.3Phi</t>
    <phoneticPr fontId="2" type="noConversion"/>
  </si>
  <si>
    <t>SOLDER WIRE;LFC2-W3.0</t>
    <phoneticPr fontId="2" type="noConversion"/>
  </si>
  <si>
    <t>3Phi,Sn-0.2Cu-0.01P ;</t>
    <phoneticPr fontId="2" type="noConversion"/>
  </si>
  <si>
    <t>비엔에프코퍼레이션</t>
    <phoneticPr fontId="2" type="noConversion"/>
  </si>
  <si>
    <t xml:space="preserve">FLUX </t>
    <phoneticPr fontId="2" type="noConversion"/>
  </si>
  <si>
    <t>FLUX LF-715K</t>
    <phoneticPr fontId="2" type="noConversion"/>
  </si>
  <si>
    <t>UN-CAN</t>
    <phoneticPr fontId="2" type="noConversion"/>
  </si>
  <si>
    <t>태원화학</t>
    <phoneticPr fontId="2" type="noConversion"/>
  </si>
  <si>
    <t>LEAD FREE(UN-CAN)</t>
    <phoneticPr fontId="2" type="noConversion"/>
  </si>
  <si>
    <t>KOKI KOREA</t>
    <phoneticPr fontId="2" type="noConversion"/>
  </si>
  <si>
    <t>오공본드</t>
    <phoneticPr fontId="2" type="noConversion"/>
  </si>
  <si>
    <t>수삽</t>
    <phoneticPr fontId="2" type="noConversion"/>
  </si>
  <si>
    <t>오공본드</t>
    <phoneticPr fontId="2" type="noConversion"/>
  </si>
  <si>
    <t>수삽</t>
    <phoneticPr fontId="2" type="noConversion"/>
  </si>
  <si>
    <t>성호전자</t>
    <phoneticPr fontId="2" type="noConversion"/>
  </si>
  <si>
    <t>C-FILM</t>
    <phoneticPr fontId="2" type="noConversion"/>
  </si>
  <si>
    <t>C-FILM</t>
    <phoneticPr fontId="2" type="noConversion"/>
  </si>
  <si>
    <t>수삽</t>
    <phoneticPr fontId="2" type="noConversion"/>
  </si>
  <si>
    <t>C-EL</t>
    <phoneticPr fontId="2" type="noConversion"/>
  </si>
  <si>
    <t>C-EL</t>
    <phoneticPr fontId="2" type="noConversion"/>
  </si>
  <si>
    <t>삼화전기</t>
    <phoneticPr fontId="2" type="noConversion"/>
  </si>
  <si>
    <t>RELAY-POWER</t>
    <phoneticPr fontId="2" type="noConversion"/>
  </si>
  <si>
    <t>PCB</t>
    <phoneticPr fontId="2" type="noConversion"/>
  </si>
  <si>
    <t>C-EL</t>
    <phoneticPr fontId="2" type="noConversion"/>
  </si>
  <si>
    <t>수삽</t>
    <phoneticPr fontId="2" type="noConversion"/>
  </si>
  <si>
    <t>수삽</t>
    <phoneticPr fontId="2" type="noConversion"/>
  </si>
  <si>
    <t>아비코</t>
    <phoneticPr fontId="2" type="noConversion"/>
  </si>
  <si>
    <t>INDUCTOR-PFC</t>
    <phoneticPr fontId="2" type="noConversion"/>
  </si>
  <si>
    <t>TRANS-MULTI</t>
    <phoneticPr fontId="2" type="noConversion"/>
  </si>
  <si>
    <t>CNM803</t>
    <phoneticPr fontId="2" type="noConversion"/>
  </si>
  <si>
    <t>CONNECTOR</t>
    <phoneticPr fontId="2" type="noConversion"/>
  </si>
  <si>
    <t>CONNECTOR;SMAW250-H20S5</t>
    <phoneticPr fontId="2" type="noConversion"/>
  </si>
  <si>
    <t>250V;3A;20pin;2.5mm;V0;BLACK;</t>
    <phoneticPr fontId="2" type="noConversion"/>
  </si>
  <si>
    <t>HS801S</t>
    <phoneticPr fontId="2" type="noConversion"/>
  </si>
  <si>
    <t>HS</t>
    <phoneticPr fontId="2" type="noConversion"/>
  </si>
  <si>
    <t>HS</t>
    <phoneticPr fontId="2" type="noConversion"/>
  </si>
  <si>
    <t>COMPOUND OKC-5500</t>
    <phoneticPr fontId="2" type="noConversion"/>
  </si>
  <si>
    <t>WHITE PASTE</t>
    <phoneticPr fontId="2" type="noConversion"/>
  </si>
  <si>
    <t>오공본드</t>
    <phoneticPr fontId="2" type="noConversion"/>
  </si>
  <si>
    <t>0.2g</t>
    <phoneticPr fontId="2" type="noConversion"/>
  </si>
  <si>
    <t>COMPOUND G-746</t>
    <phoneticPr fontId="2" type="noConversion"/>
  </si>
  <si>
    <t>⊙WHITE</t>
    <phoneticPr fontId="2" type="noConversion"/>
  </si>
  <si>
    <t>SHINETSU</t>
    <phoneticPr fontId="2" type="noConversion"/>
  </si>
  <si>
    <t>U.F-DIODE</t>
    <phoneticPr fontId="2" type="noConversion"/>
  </si>
  <si>
    <t>COMPOUND OKC-5500</t>
    <phoneticPr fontId="2" type="noConversion"/>
  </si>
  <si>
    <t>WHITE PASTE</t>
    <phoneticPr fontId="2" type="noConversion"/>
  </si>
  <si>
    <t>0.25g</t>
    <phoneticPr fontId="4" type="noConversion"/>
  </si>
  <si>
    <t>HS</t>
    <phoneticPr fontId="2" type="noConversion"/>
  </si>
  <si>
    <t>COMPOUND G-746</t>
    <phoneticPr fontId="2" type="noConversion"/>
  </si>
  <si>
    <t>⊙WHITE</t>
    <phoneticPr fontId="2" type="noConversion"/>
  </si>
  <si>
    <t>SHINETSU</t>
    <phoneticPr fontId="2" type="noConversion"/>
  </si>
  <si>
    <t>FET</t>
    <phoneticPr fontId="2" type="noConversion"/>
  </si>
  <si>
    <t>FOR QM906CS,QM907CS</t>
    <phoneticPr fontId="2" type="noConversion"/>
  </si>
  <si>
    <t>WHITE PASTE</t>
    <phoneticPr fontId="2" type="noConversion"/>
  </si>
  <si>
    <t>0.1g</t>
    <phoneticPr fontId="2" type="noConversion"/>
  </si>
  <si>
    <t>KEC</t>
    <phoneticPr fontId="2" type="noConversion"/>
  </si>
  <si>
    <t>KEC</t>
    <phoneticPr fontId="2" type="noConversion"/>
  </si>
  <si>
    <t>COMPOUND OKC-5500</t>
    <phoneticPr fontId="2" type="noConversion"/>
  </si>
  <si>
    <t>COMPOUND G-746</t>
    <phoneticPr fontId="2" type="noConversion"/>
  </si>
  <si>
    <t>⊙WHITE</t>
    <phoneticPr fontId="2" type="noConversion"/>
  </si>
  <si>
    <t>SHINETSU</t>
    <phoneticPr fontId="2" type="noConversion"/>
  </si>
  <si>
    <t>FET</t>
    <phoneticPr fontId="2" type="noConversion"/>
  </si>
  <si>
    <t>DIODE-SCHOTTKY</t>
    <phoneticPr fontId="2" type="noConversion"/>
  </si>
  <si>
    <t>0.3g</t>
    <phoneticPr fontId="2" type="noConversion"/>
  </si>
  <si>
    <t>0.1g</t>
    <phoneticPr fontId="2" type="noConversion"/>
  </si>
  <si>
    <t>SMD</t>
    <phoneticPr fontId="2" type="noConversion"/>
  </si>
  <si>
    <t>SMD</t>
    <phoneticPr fontId="2" type="noConversion"/>
  </si>
  <si>
    <t>IC RESONANT CONTROL</t>
    <phoneticPr fontId="2" type="noConversion"/>
  </si>
  <si>
    <t>LRC</t>
    <phoneticPr fontId="2" type="noConversion"/>
  </si>
  <si>
    <t>SMD</t>
    <phoneticPr fontId="2" type="noConversion"/>
  </si>
  <si>
    <t>TR-SMALL SIGNAL; MMBT7002K-HAF</t>
    <phoneticPr fontId="2" type="noConversion"/>
  </si>
  <si>
    <t>NPN;60V;0.3A;350mW;SOT-23;H2;M1;</t>
    <phoneticPr fontId="2" type="noConversion"/>
  </si>
  <si>
    <t>TR</t>
    <phoneticPr fontId="2" type="noConversion"/>
  </si>
  <si>
    <t>TR</t>
    <phoneticPr fontId="2" type="noConversion"/>
  </si>
  <si>
    <t>MPCAA009800</t>
    <phoneticPr fontId="2" type="noConversion"/>
  </si>
  <si>
    <t>TR-SMALL SIGNAL;KTD1624;</t>
    <phoneticPr fontId="4" type="noConversion"/>
  </si>
  <si>
    <t>NPN;50V;3A;1000mW;SOT-89;H3A;M1;</t>
    <phoneticPr fontId="4" type="noConversion"/>
  </si>
  <si>
    <t>MPCAA011190</t>
    <phoneticPr fontId="2" type="noConversion"/>
  </si>
  <si>
    <t>NPN;50V;3A;1000mW;SOT-89;H2;M1;</t>
    <phoneticPr fontId="4" type="noConversion"/>
  </si>
  <si>
    <t>SEMTECH</t>
    <phoneticPr fontId="2" type="noConversion"/>
  </si>
  <si>
    <t>MPCAA005540</t>
    <phoneticPr fontId="2" type="noConversion"/>
  </si>
  <si>
    <t>TR-SMALL SIGNAL;KTB1124;</t>
    <phoneticPr fontId="2" type="noConversion"/>
  </si>
  <si>
    <t>PNP;-50V;-3A;500mW;SOT-89;H3A;M1;</t>
    <phoneticPr fontId="4" type="noConversion"/>
  </si>
  <si>
    <t>MPCAA011180</t>
    <phoneticPr fontId="2" type="noConversion"/>
  </si>
  <si>
    <t>TR-SMALL SIGNAL;2SA3350U</t>
    <phoneticPr fontId="2" type="noConversion"/>
  </si>
  <si>
    <t>PNP;-50V;-3A;1000mW;SOT-89;H2;M1;</t>
    <phoneticPr fontId="4" type="noConversion"/>
  </si>
  <si>
    <t>SEMTECH</t>
    <phoneticPr fontId="2" type="noConversion"/>
  </si>
  <si>
    <t>TR</t>
    <phoneticPr fontId="4" type="noConversion"/>
  </si>
  <si>
    <t>F.R-DIODE</t>
    <phoneticPr fontId="2" type="noConversion"/>
  </si>
  <si>
    <t>SMD</t>
    <phoneticPr fontId="2" type="noConversion"/>
  </si>
  <si>
    <t>DIODE-RECTIFIER</t>
    <phoneticPr fontId="2" type="noConversion"/>
  </si>
  <si>
    <t>DIODE-SWITCHING</t>
    <phoneticPr fontId="2" type="noConversion"/>
  </si>
  <si>
    <t>DIODE-ZENER</t>
    <phoneticPr fontId="2" type="noConversion"/>
  </si>
  <si>
    <t>C-MLCC CHIP</t>
    <phoneticPr fontId="2" type="noConversion"/>
  </si>
  <si>
    <t>WALSIN</t>
    <phoneticPr fontId="2" type="noConversion"/>
  </si>
  <si>
    <t>YAGEO</t>
    <phoneticPr fontId="2" type="noConversion"/>
  </si>
  <si>
    <t>YAGEO</t>
    <phoneticPr fontId="2" type="noConversion"/>
  </si>
  <si>
    <t>삼성전기</t>
    <phoneticPr fontId="48" type="noConversion"/>
  </si>
  <si>
    <t>R-CHIP</t>
    <phoneticPr fontId="2" type="noConversion"/>
  </si>
  <si>
    <t>R-CHIP</t>
    <phoneticPr fontId="2" type="noConversion"/>
  </si>
  <si>
    <t>10Ω;1/10W;F;1608;</t>
    <phoneticPr fontId="2" type="noConversion"/>
  </si>
  <si>
    <t>MQAAG100960</t>
    <phoneticPr fontId="2" type="noConversion"/>
  </si>
  <si>
    <t>R-CHIP;RM06FTN10R0</t>
    <phoneticPr fontId="2" type="noConversion"/>
  </si>
  <si>
    <t>0.01KΩ;1/10W;1%;1608;</t>
    <phoneticPr fontId="2" type="noConversion"/>
  </si>
  <si>
    <t>MQAAG090750</t>
    <phoneticPr fontId="2" type="noConversion"/>
  </si>
  <si>
    <t>R-CHIP;CR-03FL7-10R</t>
    <phoneticPr fontId="2" type="noConversion"/>
  </si>
  <si>
    <t>VIKING</t>
    <phoneticPr fontId="2" type="noConversion"/>
  </si>
  <si>
    <t>R-CHIP;1608 220Ω F</t>
    <phoneticPr fontId="2" type="noConversion"/>
  </si>
  <si>
    <t>220Ω;1/10W;F;1608;</t>
    <phoneticPr fontId="2" type="noConversion"/>
  </si>
  <si>
    <t>MQAAG100680</t>
    <phoneticPr fontId="2" type="noConversion"/>
  </si>
  <si>
    <t>R-CHIP;RM06FTN2200</t>
    <phoneticPr fontId="2" type="noConversion"/>
  </si>
  <si>
    <t>0.22KΩ;1/10W;1%;1608;</t>
    <phoneticPr fontId="2" type="noConversion"/>
  </si>
  <si>
    <t>MQAAG100890</t>
    <phoneticPr fontId="2" type="noConversion"/>
  </si>
  <si>
    <t>R-CHIP;RM06FTN2001</t>
    <phoneticPr fontId="2" type="noConversion"/>
  </si>
  <si>
    <t>2KΩ;1/10W;1%;1608;</t>
    <phoneticPr fontId="2" type="noConversion"/>
  </si>
  <si>
    <t>MQAAG090770</t>
    <phoneticPr fontId="2" type="noConversion"/>
  </si>
  <si>
    <t>R-CHIP;CR-03FL7-2K</t>
    <phoneticPr fontId="2" type="noConversion"/>
  </si>
  <si>
    <t>R-CHIP;1608 2.2KΩ F</t>
    <phoneticPr fontId="2" type="noConversion"/>
  </si>
  <si>
    <t>2.2KΩ;1/10W;F;1608;</t>
    <phoneticPr fontId="2" type="noConversion"/>
  </si>
  <si>
    <t>MQAAG100880</t>
    <phoneticPr fontId="2" type="noConversion"/>
  </si>
  <si>
    <t>R-CHIP;RM06FTN2201</t>
    <phoneticPr fontId="2" type="noConversion"/>
  </si>
  <si>
    <t>2.2KΩ;1/10W;1%;1608;</t>
    <phoneticPr fontId="2" type="noConversion"/>
  </si>
  <si>
    <t>R-CHIP</t>
    <phoneticPr fontId="2" type="noConversion"/>
  </si>
  <si>
    <t>YAGEO</t>
    <phoneticPr fontId="2" type="noConversion"/>
  </si>
  <si>
    <t>MQAAG063610</t>
    <phoneticPr fontId="2" type="noConversion"/>
  </si>
  <si>
    <t>R-CHIP;1608 4.7KΩ F</t>
    <phoneticPr fontId="2" type="noConversion"/>
  </si>
  <si>
    <t>4.7KΩ;1/10W;F;1608;</t>
    <phoneticPr fontId="2" type="noConversion"/>
  </si>
  <si>
    <t>MQAAG100470</t>
    <phoneticPr fontId="2" type="noConversion"/>
  </si>
  <si>
    <t>R-CHIP;RM06FTN4701</t>
    <phoneticPr fontId="2" type="noConversion"/>
  </si>
  <si>
    <t>4.7KΩ;1/10W;1%;1608;</t>
    <phoneticPr fontId="2" type="noConversion"/>
  </si>
  <si>
    <t>R-CHIP;1608 10KΩ F</t>
    <phoneticPr fontId="2" type="noConversion"/>
  </si>
  <si>
    <t>10KΩ;1/10W;F;1608;</t>
    <phoneticPr fontId="2" type="noConversion"/>
  </si>
  <si>
    <t>MQAAG100790</t>
    <phoneticPr fontId="2" type="noConversion"/>
  </si>
  <si>
    <t>R-CHIP;RM06FTN1002</t>
    <phoneticPr fontId="2" type="noConversion"/>
  </si>
  <si>
    <t>MQAAG065220</t>
    <phoneticPr fontId="2" type="noConversion"/>
  </si>
  <si>
    <t>R-CHIP;1608 15KΩ F</t>
    <phoneticPr fontId="2" type="noConversion"/>
  </si>
  <si>
    <t>15KΩ;1/10W;F;1608;</t>
    <phoneticPr fontId="2" type="noConversion"/>
  </si>
  <si>
    <t>MQAAG100660</t>
    <phoneticPr fontId="2" type="noConversion"/>
  </si>
  <si>
    <t>R-CHIP;RM06FTN1502</t>
    <phoneticPr fontId="2" type="noConversion"/>
  </si>
  <si>
    <t>15KΩ;1/10W;1%;1608;</t>
    <phoneticPr fontId="2" type="noConversion"/>
  </si>
  <si>
    <t>MQAAG064870</t>
    <phoneticPr fontId="2" type="noConversion"/>
  </si>
  <si>
    <t>20KΩ;1/10W;F;1608;</t>
    <phoneticPr fontId="2" type="noConversion"/>
  </si>
  <si>
    <t>MQAAG100580</t>
    <phoneticPr fontId="2" type="noConversion"/>
  </si>
  <si>
    <t>R-CHIP;RM06FTN2002</t>
    <phoneticPr fontId="2" type="noConversion"/>
  </si>
  <si>
    <t>20KΩ;1/10W;1%;1608;</t>
    <phoneticPr fontId="2" type="noConversion"/>
  </si>
  <si>
    <t>MQAAG067940</t>
    <phoneticPr fontId="2" type="noConversion"/>
  </si>
  <si>
    <t>R-CHIP;1608 30KΩ F</t>
    <phoneticPr fontId="2" type="noConversion"/>
  </si>
  <si>
    <t>30KΩ;1/10W;F;1608;</t>
    <phoneticPr fontId="2" type="noConversion"/>
  </si>
  <si>
    <t>MQAAG100830</t>
    <phoneticPr fontId="2" type="noConversion"/>
  </si>
  <si>
    <t>30KΩ;1/10W;1%;1608;</t>
    <phoneticPr fontId="2" type="noConversion"/>
  </si>
  <si>
    <t>R-CHIP;1608 36KΩ F</t>
    <phoneticPr fontId="2" type="noConversion"/>
  </si>
  <si>
    <t>36KΩ;1/10W;F;1608;</t>
    <phoneticPr fontId="2" type="noConversion"/>
  </si>
  <si>
    <t>R-CHIP;RM06FTN3602</t>
    <phoneticPr fontId="2" type="noConversion"/>
  </si>
  <si>
    <t>36KΩ;1/10W;1%;1608;</t>
    <phoneticPr fontId="2" type="noConversion"/>
  </si>
  <si>
    <t>R-CHIP;1608 47KΩ F</t>
    <phoneticPr fontId="2" type="noConversion"/>
  </si>
  <si>
    <t>47KΩ;1/10W;F;1608;</t>
    <phoneticPr fontId="2" type="noConversion"/>
  </si>
  <si>
    <t>MQAAG100510</t>
    <phoneticPr fontId="2" type="noConversion"/>
  </si>
  <si>
    <t>R-CHIP;RM06FTN4702</t>
    <phoneticPr fontId="2" type="noConversion"/>
  </si>
  <si>
    <t>47KΩ;1/10W;1%;1608;</t>
    <phoneticPr fontId="2" type="noConversion"/>
  </si>
  <si>
    <t>R-CHIPCR-03FL7-47K</t>
    <phoneticPr fontId="2" type="noConversion"/>
  </si>
  <si>
    <t>R-CHIP;1608 82KΩ F</t>
    <phoneticPr fontId="2" type="noConversion"/>
  </si>
  <si>
    <t>82KΩ;1/10W;F;1608;</t>
    <phoneticPr fontId="2" type="noConversion"/>
  </si>
  <si>
    <t>MQAAG100440</t>
    <phoneticPr fontId="2" type="noConversion"/>
  </si>
  <si>
    <t>R-CHIP;RM06FTN8202</t>
    <phoneticPr fontId="2" type="noConversion"/>
  </si>
  <si>
    <t>82KΩ;1/10W;1%;1608;</t>
    <phoneticPr fontId="2" type="noConversion"/>
  </si>
  <si>
    <t>MQAAG095580</t>
    <phoneticPr fontId="2" type="noConversion"/>
  </si>
  <si>
    <t>R-CHIP;CR-03FL7-82K</t>
    <phoneticPr fontId="2" type="noConversion"/>
  </si>
  <si>
    <t>MQAAG097920</t>
    <phoneticPr fontId="2" type="noConversion"/>
  </si>
  <si>
    <t>R-CHIP;RM06FTN1003</t>
    <phoneticPr fontId="2" type="noConversion"/>
  </si>
  <si>
    <t>100KΩ;1/10W;1%;1608;</t>
    <phoneticPr fontId="2" type="noConversion"/>
  </si>
  <si>
    <t>1/10W;240KΩ;F;1608</t>
    <phoneticPr fontId="2" type="noConversion"/>
  </si>
  <si>
    <t>R-CHIP;RM06FTN2403</t>
    <phoneticPr fontId="2" type="noConversion"/>
  </si>
  <si>
    <t>R-CHIP;1608 300KΩ F</t>
    <phoneticPr fontId="2" type="noConversion"/>
  </si>
  <si>
    <t>300KΩ;1/10W;F;1608;</t>
    <phoneticPr fontId="2" type="noConversion"/>
  </si>
  <si>
    <t>MQAAG100210</t>
    <phoneticPr fontId="2" type="noConversion"/>
  </si>
  <si>
    <t>R-CHIP;RM06FTN3003</t>
    <phoneticPr fontId="2" type="noConversion"/>
  </si>
  <si>
    <t>300KΩ;1/10W;1%;1608;</t>
    <phoneticPr fontId="2" type="noConversion"/>
  </si>
  <si>
    <t>MQAAG090090</t>
    <phoneticPr fontId="2" type="noConversion"/>
  </si>
  <si>
    <t>R CHIP]CR-03FL7-300K</t>
    <phoneticPr fontId="2" type="noConversion"/>
  </si>
  <si>
    <t>MQAAG078110</t>
    <phoneticPr fontId="2" type="noConversion"/>
  </si>
  <si>
    <t>470KΩ;1/10W;F;1608;</t>
    <phoneticPr fontId="2" type="noConversion"/>
  </si>
  <si>
    <t>MQAAG101290</t>
    <phoneticPr fontId="2" type="noConversion"/>
  </si>
  <si>
    <t>470KΩ;1/10W;1%;1608;</t>
    <phoneticPr fontId="2" type="noConversion"/>
  </si>
  <si>
    <t>MQAAG067020</t>
    <phoneticPr fontId="2" type="noConversion"/>
  </si>
  <si>
    <t>R-CHIP;1608 1MΩ F</t>
    <phoneticPr fontId="2" type="noConversion"/>
  </si>
  <si>
    <t>1MΩ;1/10W;F;1608;</t>
    <phoneticPr fontId="2" type="noConversion"/>
  </si>
  <si>
    <t>MQAAG100780</t>
    <phoneticPr fontId="2" type="noConversion"/>
  </si>
  <si>
    <t>R-CHIP;RM06FTN1004</t>
    <phoneticPr fontId="2" type="noConversion"/>
  </si>
  <si>
    <t>1000KΩ;1/10W;1%;1608;</t>
    <phoneticPr fontId="2" type="noConversion"/>
  </si>
  <si>
    <t>R CHIP]3216 0Ω J</t>
    <phoneticPr fontId="2" type="noConversion"/>
  </si>
  <si>
    <t>1/4W 0Ω J 3216</t>
    <phoneticPr fontId="2" type="noConversion"/>
  </si>
  <si>
    <t>R-CHIP;SR1206JR-072R2L</t>
    <phoneticPr fontId="2" type="noConversion"/>
  </si>
  <si>
    <t>2.2Ω;1/4W;5%;3216;SURGE</t>
    <phoneticPr fontId="2" type="noConversion"/>
  </si>
  <si>
    <t>R-CHIP;SWR06JTFO2R20</t>
    <phoneticPr fontId="2" type="noConversion"/>
  </si>
  <si>
    <t>R-CHIPSR1206JR-074R7L</t>
    <phoneticPr fontId="2" type="noConversion"/>
  </si>
  <si>
    <t>0.0047KΩ;1/4W;±5%;3216;SURGE</t>
    <phoneticPr fontId="2" type="noConversion"/>
  </si>
  <si>
    <t>R-CHIP;3216 10Ω F</t>
    <phoneticPr fontId="2" type="noConversion"/>
  </si>
  <si>
    <t>10Ω;1/4W;F;3216;</t>
    <phoneticPr fontId="2" type="noConversion"/>
  </si>
  <si>
    <t>MQAAG099450</t>
    <phoneticPr fontId="2" type="noConversion"/>
  </si>
  <si>
    <t>0.015KΩ;1/4W;1%;3216;</t>
    <phoneticPr fontId="2" type="noConversion"/>
  </si>
  <si>
    <t>MQAAG099550</t>
    <phoneticPr fontId="2" type="noConversion"/>
  </si>
  <si>
    <t>0.047KΩ;1/4W;1%;3216;</t>
    <phoneticPr fontId="2" type="noConversion"/>
  </si>
  <si>
    <t>MQAAG101670</t>
    <phoneticPr fontId="2" type="noConversion"/>
  </si>
  <si>
    <t>0.051KΩ;1/4W;1%;3216;</t>
    <phoneticPr fontId="2" type="noConversion"/>
  </si>
  <si>
    <t>MQAAG102010</t>
    <phoneticPr fontId="2" type="noConversion"/>
  </si>
  <si>
    <t>R-CHIP;RM12FTN56R0</t>
    <phoneticPr fontId="2" type="noConversion"/>
  </si>
  <si>
    <t>0.056KΩ;1/4W;1%;3216;</t>
    <phoneticPr fontId="2" type="noConversion"/>
  </si>
  <si>
    <t>R CHIP]3216 180Ω F</t>
    <phoneticPr fontId="2" type="noConversion"/>
  </si>
  <si>
    <t>MQAAG101600</t>
    <phoneticPr fontId="2" type="noConversion"/>
  </si>
  <si>
    <t>R-CHIP;RM12FTN1800</t>
    <phoneticPr fontId="2" type="noConversion"/>
  </si>
  <si>
    <t>0.18KΩ;1/4W;1%;3216;</t>
    <phoneticPr fontId="2" type="noConversion"/>
  </si>
  <si>
    <t>MQAAG103550</t>
    <phoneticPr fontId="2" type="noConversion"/>
  </si>
  <si>
    <t>R-CHIP;CR-06FL7-180R</t>
    <phoneticPr fontId="2" type="noConversion"/>
  </si>
  <si>
    <t>180Ω;1/4W;1%;3216;</t>
    <phoneticPr fontId="2" type="noConversion"/>
  </si>
  <si>
    <t>1/4W 910Ω F 3216</t>
    <phoneticPr fontId="2" type="noConversion"/>
  </si>
  <si>
    <t>MQAAG101830</t>
    <phoneticPr fontId="2" type="noConversion"/>
  </si>
  <si>
    <t>R-CHIP;RM12FTN9100</t>
    <phoneticPr fontId="4" type="noConversion"/>
  </si>
  <si>
    <t>0.91KΩ;1/4W;1%;3216;</t>
    <phoneticPr fontId="2" type="noConversion"/>
  </si>
  <si>
    <t>MQAAG026220</t>
    <phoneticPr fontId="2" type="noConversion"/>
  </si>
  <si>
    <t>1KΩ;1/4W;F;3216;</t>
    <phoneticPr fontId="2" type="noConversion"/>
  </si>
  <si>
    <t>MQAAG099470</t>
    <phoneticPr fontId="2" type="noConversion"/>
  </si>
  <si>
    <t>1KΩ;1/4W;1%;3216;</t>
    <phoneticPr fontId="2" type="noConversion"/>
  </si>
  <si>
    <t>2KΩ;1/4W;F;3216;</t>
    <phoneticPr fontId="2" type="noConversion"/>
  </si>
  <si>
    <t>MQAAG099620</t>
    <phoneticPr fontId="2" type="noConversion"/>
  </si>
  <si>
    <t>R-CHIP;RM12FTN2001</t>
    <phoneticPr fontId="4" type="noConversion"/>
  </si>
  <si>
    <t>2KΩ;1/4W;1%;3216;</t>
    <phoneticPr fontId="2" type="noConversion"/>
  </si>
  <si>
    <t>MQAAG103640</t>
    <phoneticPr fontId="2" type="noConversion"/>
  </si>
  <si>
    <t>R-CHIP;CR-06FL7-2K</t>
    <phoneticPr fontId="2" type="noConversion"/>
  </si>
  <si>
    <t>R-CHIP;3216 2.2KΩ F</t>
    <phoneticPr fontId="4" type="noConversion"/>
  </si>
  <si>
    <t>MQAAG099630</t>
    <phoneticPr fontId="2" type="noConversion"/>
  </si>
  <si>
    <t>2.2KΩ;1/4W;1%;3216;</t>
    <phoneticPr fontId="2" type="noConversion"/>
  </si>
  <si>
    <t>TAI</t>
    <phoneticPr fontId="2" type="noConversion"/>
  </si>
  <si>
    <t>1/4W 3.6KΩ F 3216</t>
    <phoneticPr fontId="2" type="noConversion"/>
  </si>
  <si>
    <t>MQAAG101940</t>
    <phoneticPr fontId="2" type="noConversion"/>
  </si>
  <si>
    <t>3.6KΩ;1/4W;1%;3216;</t>
    <phoneticPr fontId="2" type="noConversion"/>
  </si>
  <si>
    <t>MQAAG099980</t>
    <phoneticPr fontId="2" type="noConversion"/>
  </si>
  <si>
    <t>R CHIP;3216 5.6KΩ F</t>
    <phoneticPr fontId="2" type="noConversion"/>
  </si>
  <si>
    <t>1/4W 5.6KΩ F 3216</t>
    <phoneticPr fontId="2" type="noConversion"/>
  </si>
  <si>
    <t>MQAAG101820</t>
    <phoneticPr fontId="2" type="noConversion"/>
  </si>
  <si>
    <t>R-CHIP;RM12FTN5601</t>
    <phoneticPr fontId="2" type="noConversion"/>
  </si>
  <si>
    <t>5.6KΩ;1/4W;1%;3216;</t>
    <phoneticPr fontId="2" type="noConversion"/>
  </si>
  <si>
    <t>R CHIP;3216 6.2KΩ F</t>
    <phoneticPr fontId="2" type="noConversion"/>
  </si>
  <si>
    <t>1/4W 6.2KΩ F 3216</t>
    <phoneticPr fontId="2" type="noConversion"/>
  </si>
  <si>
    <t>MQAAG101810</t>
    <phoneticPr fontId="2" type="noConversion"/>
  </si>
  <si>
    <t>R-CHIP;RM12FTN6201</t>
    <phoneticPr fontId="2" type="noConversion"/>
  </si>
  <si>
    <t>6.2KΩ;1/4W;1%;3216;</t>
    <phoneticPr fontId="2" type="noConversion"/>
  </si>
  <si>
    <t>MQAAG052780</t>
    <phoneticPr fontId="2" type="noConversion"/>
  </si>
  <si>
    <t>R-CHIP;3216 6.8KΩ F</t>
    <phoneticPr fontId="4" type="noConversion"/>
  </si>
  <si>
    <t>6.8KΩ;1/4W;F;3216;</t>
    <phoneticPr fontId="2" type="noConversion"/>
  </si>
  <si>
    <t>MQAAG099880</t>
    <phoneticPr fontId="2" type="noConversion"/>
  </si>
  <si>
    <t>R-CHIP;RM12FTN6801</t>
    <phoneticPr fontId="4" type="noConversion"/>
  </si>
  <si>
    <t>6.8KΩ;1/4W;1%;3216;</t>
    <phoneticPr fontId="2" type="noConversion"/>
  </si>
  <si>
    <t>MQAAG103140</t>
    <phoneticPr fontId="2" type="noConversion"/>
  </si>
  <si>
    <t>R-CHIP;CR-06FL7-6K8</t>
    <phoneticPr fontId="2" type="noConversion"/>
  </si>
  <si>
    <t>R CHIP;3216 8.2KΩ F</t>
    <phoneticPr fontId="4" type="noConversion"/>
  </si>
  <si>
    <t>1/4W 8.2kΩ F 3216</t>
    <phoneticPr fontId="4" type="noConversion"/>
  </si>
  <si>
    <t>MQAAG101790</t>
    <phoneticPr fontId="2" type="noConversion"/>
  </si>
  <si>
    <t>R-CHIP;RM12FTN8201</t>
    <phoneticPr fontId="4" type="noConversion"/>
  </si>
  <si>
    <t>8.2KΩ;1/4W;1%;3216;</t>
    <phoneticPr fontId="4" type="noConversion"/>
  </si>
  <si>
    <t>R-CHIP;3216 9.1KΩ F</t>
    <phoneticPr fontId="4" type="noConversion"/>
  </si>
  <si>
    <t>9.1KΩ;1/4W;F;3216;</t>
    <phoneticPr fontId="2" type="noConversion"/>
  </si>
  <si>
    <t>MQAAG099580</t>
    <phoneticPr fontId="2" type="noConversion"/>
  </si>
  <si>
    <t>R-CHIP;RM12FTN9101</t>
    <phoneticPr fontId="4" type="noConversion"/>
  </si>
  <si>
    <t>9.1KΩ;1/4W;1%;3216;</t>
    <phoneticPr fontId="2" type="noConversion"/>
  </si>
  <si>
    <t>20KΩ;1/4W;F;3216;</t>
    <phoneticPr fontId="4" type="noConversion"/>
  </si>
  <si>
    <t>MQAAG099810</t>
    <phoneticPr fontId="2" type="noConversion"/>
  </si>
  <si>
    <t>R-CHIP;RM12FTN2002</t>
    <phoneticPr fontId="4" type="noConversion"/>
  </si>
  <si>
    <t>20KΩ;1/4W;1%;3216;</t>
    <phoneticPr fontId="4" type="noConversion"/>
  </si>
  <si>
    <t>R-CHIP;3216 30KΩ F</t>
    <phoneticPr fontId="4" type="noConversion"/>
  </si>
  <si>
    <t>1/4W;30KΩ;F;3216</t>
    <phoneticPr fontId="4" type="noConversion"/>
  </si>
  <si>
    <t>MQAAG101500</t>
    <phoneticPr fontId="2" type="noConversion"/>
  </si>
  <si>
    <t>R-CHIP;RM12FTN3002</t>
    <phoneticPr fontId="4" type="noConversion"/>
  </si>
  <si>
    <t>30KΩ;1/4W;1%;3216;</t>
    <phoneticPr fontId="4" type="noConversion"/>
  </si>
  <si>
    <t>R CHIP]3216 33KΩ F</t>
    <phoneticPr fontId="4" type="noConversion"/>
  </si>
  <si>
    <t>1/4W 33KΩ F 3216</t>
    <phoneticPr fontId="4" type="noConversion"/>
  </si>
  <si>
    <t>MQAAG099530</t>
    <phoneticPr fontId="2" type="noConversion"/>
  </si>
  <si>
    <t>R-CHIP;RM12FTN3302</t>
    <phoneticPr fontId="4" type="noConversion"/>
  </si>
  <si>
    <t>33KΩ;1/4W;1%;3216;</t>
    <phoneticPr fontId="4" type="noConversion"/>
  </si>
  <si>
    <t>1/4W 36KΩ F 3216</t>
    <phoneticPr fontId="2" type="noConversion"/>
  </si>
  <si>
    <t>MQAAG101930</t>
    <phoneticPr fontId="2" type="noConversion"/>
  </si>
  <si>
    <t>36KΩ;1/4W;1%;3216;</t>
    <phoneticPr fontId="2" type="noConversion"/>
  </si>
  <si>
    <t>MQAAG031080</t>
    <phoneticPr fontId="2" type="noConversion"/>
  </si>
  <si>
    <t>R-CHIP;3216 82KΩ F</t>
    <phoneticPr fontId="2" type="noConversion"/>
  </si>
  <si>
    <t>82KΩ;1/4W;F;3216;</t>
    <phoneticPr fontId="2" type="noConversion"/>
  </si>
  <si>
    <t>MQAAG099600</t>
    <phoneticPr fontId="2" type="noConversion"/>
  </si>
  <si>
    <t>R-CHIP;RM12FTN8202</t>
    <phoneticPr fontId="2" type="noConversion"/>
  </si>
  <si>
    <t>82KΩ;1/4W;1%;3216;</t>
    <phoneticPr fontId="2" type="noConversion"/>
  </si>
  <si>
    <t>RP831</t>
    <phoneticPr fontId="2" type="noConversion"/>
  </si>
  <si>
    <t>R CHIP]3216 120KΩ F</t>
    <phoneticPr fontId="2" type="noConversion"/>
  </si>
  <si>
    <t>1/4W 120KΩ F 3216</t>
    <phoneticPr fontId="2" type="noConversion"/>
  </si>
  <si>
    <t>R-CHIP;RM12FTN1203</t>
    <phoneticPr fontId="2" type="noConversion"/>
  </si>
  <si>
    <t>120KΩ;1/4W;1%;3216;</t>
    <phoneticPr fontId="2" type="noConversion"/>
  </si>
  <si>
    <t xml:space="preserve">R-CHIP;CR-06FL7-120K </t>
    <phoneticPr fontId="2" type="noConversion"/>
  </si>
  <si>
    <t xml:space="preserve">120KΩ;1/4W;1%;3216; </t>
    <phoneticPr fontId="2" type="noConversion"/>
  </si>
  <si>
    <t>1/4W;750KΩ;F;3216</t>
    <phoneticPr fontId="2" type="noConversion"/>
  </si>
  <si>
    <t>R-CHIP;RM12FTN7503</t>
    <phoneticPr fontId="2" type="noConversion"/>
  </si>
  <si>
    <t>MQAAG084270</t>
    <phoneticPr fontId="2" type="noConversion"/>
  </si>
  <si>
    <t>1/4W;2MΩ;F;3216</t>
    <phoneticPr fontId="2" type="noConversion"/>
  </si>
  <si>
    <t>MQAAG101530</t>
    <phoneticPr fontId="2" type="noConversion"/>
  </si>
  <si>
    <t>R-CHIP;RM12FTN2004</t>
    <phoneticPr fontId="2" type="noConversion"/>
  </si>
  <si>
    <t>2000KΩ;1/4W;1%;3216;</t>
    <phoneticPr fontId="2" type="noConversion"/>
  </si>
  <si>
    <t>PT801</t>
    <phoneticPr fontId="2" type="noConversion"/>
  </si>
  <si>
    <t>PTC</t>
    <phoneticPr fontId="2" type="noConversion"/>
  </si>
  <si>
    <t>MQIAE000010</t>
    <phoneticPr fontId="2" type="noConversion"/>
  </si>
  <si>
    <t>PHOTO-COUPLER</t>
    <phoneticPr fontId="2" type="noConversion"/>
  </si>
  <si>
    <t>PHOTO COUPLER LTV-1008</t>
    <phoneticPr fontId="2" type="noConversion"/>
  </si>
  <si>
    <t>SMD 10.1mm, H2mm Vceo 70V CTR 130~260</t>
    <phoneticPr fontId="2" type="noConversion"/>
  </si>
  <si>
    <t>LITEON</t>
    <phoneticPr fontId="2" type="noConversion"/>
  </si>
  <si>
    <t>MFAAB000330</t>
    <phoneticPr fontId="2" type="noConversion"/>
  </si>
  <si>
    <t>CHIP BOND HT-130DL</t>
    <phoneticPr fontId="2" type="noConversion"/>
  </si>
  <si>
    <t>MASK 방식</t>
    <phoneticPr fontId="2" type="noConversion"/>
  </si>
  <si>
    <t>하이텍코리아</t>
    <phoneticPr fontId="2" type="noConversion"/>
  </si>
  <si>
    <t>0.12g</t>
    <phoneticPr fontId="2" type="noConversion"/>
  </si>
  <si>
    <t>QM805</t>
    <phoneticPr fontId="2" type="noConversion"/>
  </si>
  <si>
    <t>자삽
RADIAL</t>
    <phoneticPr fontId="2" type="noConversion"/>
  </si>
  <si>
    <t>C-CERAMIC</t>
    <phoneticPr fontId="2" type="noConversion"/>
  </si>
  <si>
    <t>CORE FERRITE</t>
    <phoneticPr fontId="2" type="noConversion"/>
  </si>
  <si>
    <t>S.F-DIODE</t>
    <phoneticPr fontId="2" type="noConversion"/>
  </si>
  <si>
    <t>D-FAST RECOVERY;SF28G;</t>
    <phoneticPr fontId="2" type="noConversion"/>
  </si>
  <si>
    <t>600V;2A;DO-15;TP;35nSec;ST;H2;M1;</t>
    <phoneticPr fontId="2" type="noConversion"/>
  </si>
  <si>
    <t>DACHANG</t>
    <phoneticPr fontId="2" type="noConversion"/>
  </si>
  <si>
    <t>MPBAI011940</t>
    <phoneticPr fontId="2" type="noConversion"/>
  </si>
  <si>
    <t>600V;2A;DO-15;TP;35nSec;H3B;N/A;</t>
    <phoneticPr fontId="2" type="noConversion"/>
  </si>
  <si>
    <t>TAIWANSEMI</t>
    <phoneticPr fontId="2" type="noConversion"/>
  </si>
  <si>
    <t>RM880</t>
    <phoneticPr fontId="2" type="noConversion"/>
  </si>
  <si>
    <t>R-METAL OXIDE</t>
    <phoneticPr fontId="2" type="noConversion"/>
  </si>
  <si>
    <t>R-METAL OXIDE;MORS 2W TB 750R J</t>
    <phoneticPr fontId="2" type="noConversion"/>
  </si>
  <si>
    <t>750Ω;2W;J;TP;AXIAL;52mm;</t>
    <phoneticPr fontId="2" type="noConversion"/>
  </si>
  <si>
    <t>MQAAC043080</t>
    <phoneticPr fontId="2" type="noConversion"/>
  </si>
  <si>
    <t>R-METAL OXIDE;SSD02T1J750R</t>
    <phoneticPr fontId="2" type="noConversion"/>
  </si>
  <si>
    <t>CORE FERRITE]BEAD HBA3565PL</t>
    <phoneticPr fontId="2" type="noConversion"/>
  </si>
  <si>
    <t>MRBAB000410</t>
    <phoneticPr fontId="2" type="noConversion"/>
  </si>
  <si>
    <t>CORE FERRITE]BEAD BAS3565T0</t>
    <phoneticPr fontId="2" type="noConversion"/>
  </si>
  <si>
    <t>ARRESTER</t>
    <phoneticPr fontId="4" type="noConversion"/>
  </si>
  <si>
    <t>ARRESTER;WSA-601M-C</t>
    <phoneticPr fontId="2" type="noConversion"/>
  </si>
  <si>
    <t>MRSAS000830</t>
    <phoneticPr fontId="2" type="noConversion"/>
  </si>
  <si>
    <t>ARRESTER;TSA-A1BC601M</t>
    <phoneticPr fontId="2" type="noConversion"/>
  </si>
  <si>
    <t>자삽
EYELET</t>
    <phoneticPr fontId="2" type="noConversion"/>
  </si>
  <si>
    <t>R-METAL OXIDE</t>
    <phoneticPr fontId="2" type="noConversion"/>
  </si>
  <si>
    <t>MQAAG101690</t>
    <phoneticPr fontId="2" type="noConversion"/>
  </si>
  <si>
    <t>C-MLC;0603X475K160CT</t>
    <phoneticPr fontId="2" type="noConversion"/>
  </si>
  <si>
    <t>CS852H</t>
    <phoneticPr fontId="2" type="noConversion"/>
  </si>
  <si>
    <t>MQCAD029420</t>
    <phoneticPr fontId="48" type="noConversion"/>
  </si>
  <si>
    <t>C-MLC;CL10A475KO8NNNC</t>
    <phoneticPr fontId="48" type="noConversion"/>
  </si>
  <si>
    <t>16V;4.7uF;K;1608mm;X5R;Crack강화;</t>
    <phoneticPr fontId="48" type="noConversion"/>
  </si>
  <si>
    <t>16V;4.7uF;K;1608mm;X5R;Crack강화;</t>
    <phoneticPr fontId="2" type="noConversion"/>
  </si>
  <si>
    <t>DACHANG</t>
    <phoneticPr fontId="2" type="noConversion"/>
  </si>
  <si>
    <t>1000V;1A;SMA;BK;0.0018nSec;SMD;N/A;M1;</t>
    <phoneticPr fontId="4" type="noConversion"/>
  </si>
  <si>
    <t>MPBAB006690</t>
    <phoneticPr fontId="2" type="noConversion"/>
  </si>
  <si>
    <t xml:space="preserve">BEAD-CHIP </t>
    <phoneticPr fontId="2" type="noConversion"/>
  </si>
  <si>
    <t>BEAD CHIP T321611U121</t>
    <phoneticPr fontId="2" type="noConversion"/>
  </si>
  <si>
    <t>120Ω 3216</t>
    <phoneticPr fontId="2" type="noConversion"/>
  </si>
  <si>
    <t>SMD</t>
    <phoneticPr fontId="2" type="noConversion"/>
  </si>
  <si>
    <t>MRBAD002800</t>
    <phoneticPr fontId="2" type="noConversion"/>
  </si>
  <si>
    <t>BEAD CHIP PZ3216D121-3ROTF</t>
    <phoneticPr fontId="2" type="noConversion"/>
  </si>
  <si>
    <t>120Ω 3216</t>
    <phoneticPr fontId="2" type="noConversion"/>
  </si>
  <si>
    <t>TR</t>
    <phoneticPr fontId="4" type="noConversion"/>
  </si>
  <si>
    <t>R-CHIP;1608 470Ω F</t>
    <phoneticPr fontId="2" type="noConversion"/>
  </si>
  <si>
    <t>470Ω;1/10W;F;1608;</t>
    <phoneticPr fontId="2" type="noConversion"/>
  </si>
  <si>
    <t>MQAAG101300</t>
    <phoneticPr fontId="2" type="noConversion"/>
  </si>
  <si>
    <t>R-CHIP;RM06FTN4700</t>
    <phoneticPr fontId="2" type="noConversion"/>
  </si>
  <si>
    <t>0.47KΩ;1/10W;1%;1608;</t>
    <phoneticPr fontId="2" type="noConversion"/>
  </si>
  <si>
    <t>MQAAG102790</t>
    <phoneticPr fontId="2" type="noConversion"/>
  </si>
  <si>
    <t>R-CHIP;CR-03FL7-470R</t>
    <phoneticPr fontId="2" type="noConversion"/>
  </si>
  <si>
    <t>0.47KΩ;1/10W;1%;1608;</t>
    <phoneticPr fontId="2" type="noConversion"/>
  </si>
  <si>
    <t>R-CHIP;3216 2MΩ F</t>
    <phoneticPr fontId="2" type="noConversion"/>
  </si>
  <si>
    <t>R-CHIP;3216 2KΩ F</t>
    <phoneticPr fontId="4" type="noConversion"/>
  </si>
  <si>
    <t>R-CHIP;1608 100KΩ F</t>
    <phoneticPr fontId="2" type="noConversion"/>
  </si>
  <si>
    <t>R-CHIP;1608 20KΩ F</t>
    <phoneticPr fontId="2" type="noConversion"/>
  </si>
  <si>
    <t>EYELET</t>
  </si>
  <si>
    <t>대린전자</t>
  </si>
  <si>
    <t>자삽
EYELET</t>
    <phoneticPr fontId="2" type="noConversion"/>
  </si>
  <si>
    <t>EYELET 2.0*3.0*3.2 (BRASS, SN PLATING, 1.60)</t>
  </si>
  <si>
    <t>TERMINAL PIN]EYELET AA60-40011B 20mm</t>
    <phoneticPr fontId="2" type="noConversion"/>
  </si>
  <si>
    <t>2.7*3.2*3.8</t>
  </si>
  <si>
    <t>자삽
EYELET</t>
    <phoneticPr fontId="2" type="noConversion"/>
  </si>
  <si>
    <t>MPCAA004520</t>
    <phoneticPr fontId="2" type="noConversion"/>
  </si>
  <si>
    <t>TR-SMALL SIGNAL;KTC1008Y;</t>
    <phoneticPr fontId="2" type="noConversion"/>
  </si>
  <si>
    <t>NPN;60V;1A;625mW;TO-92;H3A;N/A;</t>
    <phoneticPr fontId="2" type="noConversion"/>
  </si>
  <si>
    <t>DM801S,DM802S,DM807S,DM808S</t>
    <phoneticPr fontId="2" type="noConversion"/>
  </si>
  <si>
    <t>DIODE-SCHOTTKY</t>
    <phoneticPr fontId="2" type="noConversion"/>
  </si>
  <si>
    <t>MAGNACHIP</t>
  </si>
  <si>
    <t>MQCAD029410</t>
  </si>
  <si>
    <t>LITTELFUSE</t>
    <phoneticPr fontId="2" type="noConversion"/>
  </si>
  <si>
    <t>R-CHIP</t>
    <phoneticPr fontId="2" type="noConversion"/>
  </si>
  <si>
    <t>10KΩ;1/10W;1%;1608;</t>
    <phoneticPr fontId="2" type="noConversion"/>
  </si>
  <si>
    <t>R-CHIP;1608 240kΩ F</t>
    <phoneticPr fontId="2" type="noConversion"/>
  </si>
  <si>
    <t>YAGEO</t>
    <phoneticPr fontId="2" type="noConversion"/>
  </si>
  <si>
    <t>MQAAG101490</t>
    <phoneticPr fontId="2" type="noConversion"/>
  </si>
  <si>
    <t>240KΩ;1/10W;1%;1608;</t>
    <phoneticPr fontId="2" type="noConversion"/>
  </si>
  <si>
    <t>R CHIP;3216 0.1KΩ F</t>
  </si>
  <si>
    <t>0.1KΩ;1/4W;1%;3216;</t>
  </si>
  <si>
    <t>MQAAG101570</t>
    <phoneticPr fontId="2" type="noConversion"/>
  </si>
  <si>
    <t>R-CHIP;RM12FTN1000</t>
    <phoneticPr fontId="2" type="noConversion"/>
  </si>
  <si>
    <t>0.1KΩ;1/4W;1%;3216;</t>
    <phoneticPr fontId="2" type="noConversion"/>
  </si>
  <si>
    <t>MQAAG103030</t>
  </si>
  <si>
    <t>R-CHIP;CR-06FL7-100R</t>
  </si>
  <si>
    <t>RM876</t>
    <phoneticPr fontId="2" type="noConversion"/>
  </si>
  <si>
    <t>RM814</t>
    <phoneticPr fontId="2" type="noConversion"/>
  </si>
  <si>
    <t>RP803</t>
    <phoneticPr fontId="2" type="noConversion"/>
  </si>
  <si>
    <t>RM823</t>
    <phoneticPr fontId="2" type="noConversion"/>
  </si>
  <si>
    <t>DIODE-BRIDGE</t>
    <phoneticPr fontId="2" type="noConversion"/>
  </si>
  <si>
    <t>2.2KΩ;1/4W;F;3216;</t>
    <phoneticPr fontId="2" type="noConversion"/>
  </si>
  <si>
    <t>R-CHIP;3216 2.4KΩ F</t>
    <phoneticPr fontId="4" type="noConversion"/>
  </si>
  <si>
    <t>MQAAG100280</t>
    <phoneticPr fontId="2" type="noConversion"/>
  </si>
  <si>
    <t>R-CHIP;RM12FTN2401</t>
    <phoneticPr fontId="4" type="noConversion"/>
  </si>
  <si>
    <t>2.4KΩ;1/4W;1%;3216;</t>
    <phoneticPr fontId="2" type="noConversion"/>
  </si>
  <si>
    <t>MQAAG103650</t>
    <phoneticPr fontId="2" type="noConversion"/>
  </si>
  <si>
    <t>R-CHIP;CR-06FL7-2K4</t>
    <phoneticPr fontId="2" type="noConversion"/>
  </si>
  <si>
    <t>R-CHIP;CR-06FL7-15R</t>
    <phoneticPr fontId="2" type="noConversion"/>
  </si>
  <si>
    <t>RP821</t>
    <phoneticPr fontId="2" type="noConversion"/>
  </si>
  <si>
    <t>RM839,RP807</t>
    <phoneticPr fontId="2" type="noConversion"/>
  </si>
  <si>
    <t>R CHIP;3216 910Ω F</t>
    <phoneticPr fontId="4" type="noConversion"/>
  </si>
  <si>
    <t>1/4W 300Ω F 3216</t>
  </si>
  <si>
    <t>MQAAG103660</t>
  </si>
  <si>
    <t>R CHIP]3216 300Ω F</t>
    <phoneticPr fontId="2" type="noConversion"/>
  </si>
  <si>
    <t>MQAAG101870</t>
    <phoneticPr fontId="2" type="noConversion"/>
  </si>
  <si>
    <t>0.3KΩ;1/4W;1%;3216;</t>
    <phoneticPr fontId="2" type="noConversion"/>
  </si>
  <si>
    <t>0.3KΩ;1/4W;1%;3216;</t>
    <phoneticPr fontId="2" type="noConversion"/>
  </si>
  <si>
    <t>RP833</t>
    <phoneticPr fontId="2" type="noConversion"/>
  </si>
  <si>
    <t>R-CHIP;RM06FTN3002</t>
    <phoneticPr fontId="2" type="noConversion"/>
  </si>
  <si>
    <t>R CHIP]CR-03 FL7 30K</t>
    <phoneticPr fontId="2" type="noConversion"/>
  </si>
  <si>
    <t>MQAAG089160</t>
  </si>
  <si>
    <t>1/10W 33KΩ F 1608</t>
  </si>
  <si>
    <t>R-CHIP;1608 33KΩ F</t>
    <phoneticPr fontId="2" type="noConversion"/>
  </si>
  <si>
    <t>33KΩ;1/10W;F;1608;</t>
    <phoneticPr fontId="2" type="noConversion"/>
  </si>
  <si>
    <t>MQAAG100520</t>
    <phoneticPr fontId="2" type="noConversion"/>
  </si>
  <si>
    <t>R-CHIP;RM06FTN3302</t>
    <phoneticPr fontId="2" type="noConversion"/>
  </si>
  <si>
    <t>33KΩ;1/10W;1%;1608;</t>
    <phoneticPr fontId="2" type="noConversion"/>
  </si>
  <si>
    <t>R CHIP]CR-03 FL7-33K</t>
    <phoneticPr fontId="2" type="noConversion"/>
  </si>
  <si>
    <t>RM811,RM843</t>
    <phoneticPr fontId="2" type="noConversion"/>
  </si>
  <si>
    <t>RM881</t>
    <phoneticPr fontId="2" type="noConversion"/>
  </si>
  <si>
    <t>RQ851</t>
    <phoneticPr fontId="2" type="noConversion"/>
  </si>
  <si>
    <t>1/4W;470Ω;F;3216</t>
  </si>
  <si>
    <t>R-CHIP;CR-06FL7-300R</t>
    <phoneticPr fontId="2" type="noConversion"/>
  </si>
  <si>
    <t>MQAAG103700</t>
  </si>
  <si>
    <t>R CHIP]CR-03FL7-4K7</t>
    <phoneticPr fontId="2" type="noConversion"/>
  </si>
  <si>
    <t>R-CHIP;1608 5.6KΩ F</t>
    <phoneticPr fontId="2" type="noConversion"/>
  </si>
  <si>
    <t>5.6KΩ;1/10W;F;1608;</t>
    <phoneticPr fontId="2" type="noConversion"/>
  </si>
  <si>
    <t>YAGEO</t>
    <phoneticPr fontId="2" type="noConversion"/>
  </si>
  <si>
    <t>MQAAG100900</t>
    <phoneticPr fontId="2" type="noConversion"/>
  </si>
  <si>
    <t>R-CHIP;RM06FTN5601</t>
    <phoneticPr fontId="2" type="noConversion"/>
  </si>
  <si>
    <t>5.6KΩ;1/10W;1%;1608;</t>
    <phoneticPr fontId="2" type="noConversion"/>
  </si>
  <si>
    <t>TAI</t>
    <phoneticPr fontId="2" type="noConversion"/>
  </si>
  <si>
    <t>MQAAG092440</t>
    <phoneticPr fontId="2" type="noConversion"/>
  </si>
  <si>
    <t>R-CHIP;CR-03FL7-5K6</t>
    <phoneticPr fontId="2" type="noConversion"/>
  </si>
  <si>
    <t>RM866</t>
    <phoneticPr fontId="2" type="noConversion"/>
  </si>
  <si>
    <t>RM887</t>
    <phoneticPr fontId="2" type="noConversion"/>
  </si>
  <si>
    <t>R-CHIP;CR-06FL7-4K7</t>
    <phoneticPr fontId="2" type="noConversion"/>
  </si>
  <si>
    <t>51KΩ;1/4W;1%;3216;</t>
    <phoneticPr fontId="2" type="noConversion"/>
  </si>
  <si>
    <t>MQAAG101010</t>
    <phoneticPr fontId="2" type="noConversion"/>
  </si>
  <si>
    <t>R-CHIP;RM12FTN5102</t>
    <phoneticPr fontId="2" type="noConversion"/>
  </si>
  <si>
    <t>MQAAG103720</t>
    <phoneticPr fontId="2" type="noConversion"/>
  </si>
  <si>
    <t>51KΩ;1/4W;1%;3216;</t>
    <phoneticPr fontId="2" type="noConversion"/>
  </si>
  <si>
    <t>VIKING</t>
    <phoneticPr fontId="2" type="noConversion"/>
  </si>
  <si>
    <t>RM931,RM932</t>
    <phoneticPr fontId="2" type="noConversion"/>
  </si>
  <si>
    <t>RM890,RM891</t>
    <phoneticPr fontId="2" type="noConversion"/>
  </si>
  <si>
    <t>RM955,RM972,RM973</t>
    <phoneticPr fontId="2" type="noConversion"/>
  </si>
  <si>
    <t>DP815</t>
    <phoneticPr fontId="2" type="noConversion"/>
  </si>
  <si>
    <t>ICM801S</t>
    <phoneticPr fontId="2" type="noConversion"/>
  </si>
  <si>
    <t>FUJI</t>
    <phoneticPr fontId="2" type="noConversion"/>
  </si>
  <si>
    <t>ZDM802,ZDM803</t>
    <phoneticPr fontId="2" type="noConversion"/>
  </si>
  <si>
    <t>RQ854</t>
    <phoneticPr fontId="2" type="noConversion"/>
  </si>
  <si>
    <t>ICM901S</t>
    <phoneticPr fontId="2" type="noConversion"/>
  </si>
  <si>
    <t>ICP801S</t>
    <phoneticPr fontId="2" type="noConversion"/>
  </si>
  <si>
    <t>VX801S</t>
    <phoneticPr fontId="2" type="noConversion"/>
  </si>
  <si>
    <t>R-CHIP;3216 1KΩ F</t>
    <phoneticPr fontId="4" type="noConversion"/>
  </si>
  <si>
    <t>R-CHIP;RM12FTN1001</t>
    <phoneticPr fontId="4" type="noConversion"/>
  </si>
  <si>
    <t>R-CHIP;CR-06FL7-1K</t>
    <phoneticPr fontId="2" type="noConversion"/>
  </si>
  <si>
    <t>600V;15A;GBJ;H2;M3;</t>
  </si>
  <si>
    <t>600V;15A;BK;H1C;M1</t>
  </si>
  <si>
    <t>MPJAZ009390</t>
    <phoneticPr fontId="2" type="noConversion"/>
  </si>
  <si>
    <t>SMD</t>
    <phoneticPr fontId="2" type="noConversion"/>
  </si>
  <si>
    <t>D-BRIDGE;D15SB60</t>
    <phoneticPr fontId="2" type="noConversion"/>
  </si>
  <si>
    <t>AOS</t>
    <phoneticPr fontId="2" type="noConversion"/>
  </si>
  <si>
    <t>TEXAS INSTRUMENTS</t>
    <phoneticPr fontId="2" type="noConversion"/>
  </si>
  <si>
    <t>짱하이</t>
    <phoneticPr fontId="2" type="noConversion"/>
  </si>
  <si>
    <t>FOR DM911C,DM912C,DM913C,DM914C</t>
    <phoneticPr fontId="2" type="noConversion"/>
  </si>
  <si>
    <t>NPN;40V;0.6A;350mW;SOT-23;H3A;M1;</t>
  </si>
  <si>
    <t>MPCAA010180</t>
  </si>
  <si>
    <t>TR-SMALL SIGNAL;MMBT2222A;</t>
  </si>
  <si>
    <t>PNP;-60V;-0.6A;350mW;SOT-23;H3A;M1;</t>
  </si>
  <si>
    <t>R-CHIP</t>
    <phoneticPr fontId="2" type="noConversion"/>
  </si>
  <si>
    <t>R CHIP]3216 3.6KΩ F</t>
    <phoneticPr fontId="4" type="noConversion"/>
  </si>
  <si>
    <t>R-CHIP;RM12FTN3601</t>
    <phoneticPr fontId="4" type="noConversion"/>
  </si>
  <si>
    <t>R-CHIP;CR-06FL7-3K6</t>
    <phoneticPr fontId="2" type="noConversion"/>
  </si>
  <si>
    <t>RM847</t>
    <phoneticPr fontId="2" type="noConversion"/>
  </si>
  <si>
    <t>RM848</t>
    <phoneticPr fontId="2" type="noConversion"/>
  </si>
  <si>
    <t>AUK</t>
    <phoneticPr fontId="2" type="noConversion"/>
  </si>
  <si>
    <t>R-CHIP;3216 470KΩ F</t>
  </si>
  <si>
    <t>470KΩ;1/4W;F;3216;</t>
  </si>
  <si>
    <t>MQAAG099540</t>
  </si>
  <si>
    <t>R-CHIP;RM12FTN4703</t>
  </si>
  <si>
    <t>470KΩ;1/4W;1%;3216;</t>
  </si>
  <si>
    <t>MQAAG105910</t>
  </si>
  <si>
    <t>R-CHIP;CR-06FL7-470K</t>
  </si>
  <si>
    <t>C-CERAMIC(DISK);CT81-2KV-06h-2R-221K 50T</t>
  </si>
  <si>
    <t>WANSHENG</t>
  </si>
  <si>
    <t>2KV;0.00022uF;±10%;TP;Out;5mm;-25~+125℃;</t>
    <phoneticPr fontId="2" type="noConversion"/>
  </si>
  <si>
    <t>WANMING</t>
    <phoneticPr fontId="2" type="noConversion"/>
  </si>
  <si>
    <t>C-CERAMIC(DISK);HGR3DR221KF2AW</t>
    <phoneticPr fontId="2" type="noConversion"/>
  </si>
  <si>
    <t>2000V;0.00022uF;10%;TP;ST;5mm;-25~+125℃;</t>
    <phoneticPr fontId="2" type="noConversion"/>
  </si>
  <si>
    <t>R-CHIP</t>
    <phoneticPr fontId="2" type="noConversion"/>
  </si>
  <si>
    <t>MQAAG067010</t>
    <phoneticPr fontId="2" type="noConversion"/>
  </si>
  <si>
    <t>R-CHIP;1608 0Ω J</t>
  </si>
  <si>
    <t>0Ω;1/10W;J;1608;</t>
    <phoneticPr fontId="2" type="noConversion"/>
  </si>
  <si>
    <t>YAGEO</t>
    <phoneticPr fontId="2" type="noConversion"/>
  </si>
  <si>
    <t>SMD</t>
    <phoneticPr fontId="2" type="noConversion"/>
  </si>
  <si>
    <t>MQAAG100590</t>
    <phoneticPr fontId="2" type="noConversion"/>
  </si>
  <si>
    <t>R-CHIP;RM06JTN0</t>
  </si>
  <si>
    <t>0KΩ;1/10W;5%;1608;</t>
    <phoneticPr fontId="2" type="noConversion"/>
  </si>
  <si>
    <t>TAI</t>
    <phoneticPr fontId="2" type="noConversion"/>
  </si>
  <si>
    <t>MQAAG090730</t>
    <phoneticPr fontId="2" type="noConversion"/>
  </si>
  <si>
    <t>R-CHIPCR-03JL7-0R</t>
  </si>
  <si>
    <t>0Ω;1/10W;5%;1608</t>
    <phoneticPr fontId="2" type="noConversion"/>
  </si>
  <si>
    <t>VIKING</t>
    <phoneticPr fontId="2" type="noConversion"/>
  </si>
  <si>
    <t>CCA WIRE</t>
    <phoneticPr fontId="4" type="noConversion"/>
  </si>
  <si>
    <t>TCAAB Wire;TCAAB-06R</t>
    <phoneticPr fontId="2" type="noConversion"/>
  </si>
  <si>
    <t>TCAAB Wire;0.6Phi;Roll;</t>
  </si>
  <si>
    <t>토파츠아이</t>
  </si>
  <si>
    <t>자삽
AXIAL</t>
    <phoneticPr fontId="2" type="noConversion"/>
  </si>
  <si>
    <t>MRLAA000310</t>
    <phoneticPr fontId="2" type="noConversion"/>
  </si>
  <si>
    <t>CCAW JUMP WIRE;SXE-0004 SX0652 ROLL TYPE</t>
    <phoneticPr fontId="2" type="noConversion"/>
  </si>
  <si>
    <t>CCAW;0.6Phi;Roll;52mm;</t>
  </si>
  <si>
    <t>세현전자</t>
  </si>
  <si>
    <t>PCB SUPPORTER</t>
    <phoneticPr fontId="2" type="noConversion"/>
  </si>
  <si>
    <t>RM871</t>
    <phoneticPr fontId="2" type="noConversion"/>
  </si>
  <si>
    <t>NT801S</t>
    <phoneticPr fontId="2" type="noConversion"/>
  </si>
  <si>
    <t>250mW;SMD;BGrade;5000Vrms;H3A;M1;</t>
    <phoneticPr fontId="4" type="noConversion"/>
  </si>
  <si>
    <t>EVERLIGHT</t>
  </si>
  <si>
    <t>MQAAG100980</t>
    <phoneticPr fontId="2" type="noConversion"/>
  </si>
  <si>
    <t>MPDAF005510</t>
    <phoneticPr fontId="2" type="noConversion"/>
  </si>
  <si>
    <t>500V;0.82uF;K;BK;26*16.5*7mm;ㄱ;-40~85℃;22.5mm;</t>
    <phoneticPr fontId="2" type="noConversion"/>
  </si>
  <si>
    <t>MQDAB020940</t>
    <phoneticPr fontId="2" type="noConversion"/>
  </si>
  <si>
    <t>600V;20000mA;</t>
    <phoneticPr fontId="2" type="noConversion"/>
  </si>
  <si>
    <t>MFBAB001031</t>
    <phoneticPr fontId="2" type="noConversion"/>
  </si>
  <si>
    <t>MFBAD000321</t>
    <phoneticPr fontId="2" type="noConversion"/>
  </si>
  <si>
    <t>FET MDF3752TH</t>
    <phoneticPr fontId="2" type="noConversion"/>
  </si>
  <si>
    <t>MFAAA000210</t>
    <phoneticPr fontId="2" type="noConversion"/>
  </si>
  <si>
    <t>MFAAA000210</t>
    <phoneticPr fontId="2" type="noConversion"/>
  </si>
  <si>
    <t>MQCAA028460</t>
    <phoneticPr fontId="2" type="noConversion"/>
  </si>
  <si>
    <t>2.04g</t>
    <phoneticPr fontId="2" type="noConversion"/>
  </si>
  <si>
    <t>LU801,LU802,LU803,LU804,LU805,LU806,LU807</t>
    <phoneticPr fontId="2" type="noConversion"/>
  </si>
  <si>
    <t>MQAAG065410</t>
    <phoneticPr fontId="2" type="noConversion"/>
  </si>
  <si>
    <t>R-CHIPCR-03FL7-1M</t>
    <phoneticPr fontId="2" type="noConversion"/>
  </si>
  <si>
    <t>선일전자</t>
    <phoneticPr fontId="2" type="noConversion"/>
  </si>
  <si>
    <t>C-FILM(PPF);BFMPP500V824K22.5BRSP</t>
    <phoneticPr fontId="2" type="noConversion"/>
  </si>
  <si>
    <t>C-FILM(PPF);BNPS1000V333J15B</t>
    <phoneticPr fontId="2" type="noConversion"/>
  </si>
  <si>
    <t>C-FILM(PPF);497B 1000V 333J (1770) F/B 3</t>
    <phoneticPr fontId="2" type="noConversion"/>
  </si>
  <si>
    <t>1000V;0.033uF;±5%;BK;17.5*13.5*7mm;ㄱ;-40~105℃;15mm</t>
    <phoneticPr fontId="2" type="noConversion"/>
  </si>
  <si>
    <t>INLET</t>
    <phoneticPr fontId="2" type="noConversion"/>
  </si>
  <si>
    <t>MRJBC008580</t>
    <phoneticPr fontId="2" type="noConversion"/>
  </si>
  <si>
    <t>PLUG-OUTLET;DAC-18D3R1</t>
    <phoneticPr fontId="2" type="noConversion"/>
  </si>
  <si>
    <t>250V;2.5A;-25~85℃;</t>
    <phoneticPr fontId="2" type="noConversion"/>
  </si>
  <si>
    <t>C-CERAMIC(DISK);HGR3DR331KF2AW</t>
    <phoneticPr fontId="2" type="noConversion"/>
  </si>
  <si>
    <t>2KV;0.00033uF;±10%;TP;Out;5mm;-25~+125℃;</t>
    <phoneticPr fontId="2" type="noConversion"/>
  </si>
  <si>
    <t>WANMING</t>
    <phoneticPr fontId="2" type="noConversion"/>
  </si>
  <si>
    <t>MQDAB021050</t>
    <phoneticPr fontId="2" type="noConversion"/>
  </si>
  <si>
    <t>CN801S</t>
    <phoneticPr fontId="2" type="noConversion"/>
  </si>
  <si>
    <t>HS802S</t>
    <phoneticPr fontId="2" type="noConversion"/>
  </si>
  <si>
    <t>HS803S</t>
    <phoneticPr fontId="2" type="noConversion"/>
  </si>
  <si>
    <t>HS804S</t>
    <phoneticPr fontId="2" type="noConversion"/>
  </si>
  <si>
    <t>HS805S</t>
    <phoneticPr fontId="2" type="noConversion"/>
  </si>
  <si>
    <t>MQCAA028470</t>
    <phoneticPr fontId="2" type="noConversion"/>
  </si>
  <si>
    <t>CONNECTOR;SMAW250-H22S5(BK)(LTR)</t>
    <phoneticPr fontId="2" type="noConversion"/>
  </si>
  <si>
    <t>250V;3A;22pin;2.5mm;V-0;BLACK;</t>
    <phoneticPr fontId="2" type="noConversion"/>
  </si>
  <si>
    <t>CNV901A</t>
    <phoneticPr fontId="2" type="noConversion"/>
  </si>
  <si>
    <t>QM801CS,QM802CS</t>
    <phoneticPr fontId="2" type="noConversion"/>
  </si>
  <si>
    <t>FOR SET</t>
    <phoneticPr fontId="2" type="noConversion"/>
  </si>
  <si>
    <t>R-CHIP;RM12FTN3000</t>
    <phoneticPr fontId="2" type="noConversion"/>
  </si>
  <si>
    <t>PCB</t>
    <phoneticPr fontId="2" type="noConversion"/>
  </si>
  <si>
    <t>MRJAK026460</t>
    <phoneticPr fontId="2" type="noConversion"/>
  </si>
  <si>
    <t>QM901</t>
    <phoneticPr fontId="2" type="noConversion"/>
  </si>
  <si>
    <t>R CHIP]3216 36KΩ F</t>
    <phoneticPr fontId="2" type="noConversion"/>
  </si>
  <si>
    <t>R-CHIP;RM12FTN3602</t>
    <phoneticPr fontId="2" type="noConversion"/>
  </si>
  <si>
    <t>R-CHIP;CR-06FL7-36K</t>
    <phoneticPr fontId="2" type="noConversion"/>
  </si>
  <si>
    <t>R CHIP]3216 51KΩ F</t>
    <phoneticPr fontId="2" type="noConversion"/>
  </si>
  <si>
    <t>R-CHIP;CR-06FL7-51K</t>
    <phoneticPr fontId="2" type="noConversion"/>
  </si>
  <si>
    <t>R-CHIP;RM12FTN51R0</t>
    <phoneticPr fontId="2" type="noConversion"/>
  </si>
  <si>
    <t>R-CHIP;RM12FTN47R0</t>
    <phoneticPr fontId="2" type="noConversion"/>
  </si>
  <si>
    <t xml:space="preserve">C-EL;ECR2HZR390MES100050E </t>
    <phoneticPr fontId="2" type="noConversion"/>
  </si>
  <si>
    <t>500V;39uF;20%;-25~+105℃;10*50mm;BK;ㄱ;5mm;</t>
    <phoneticPr fontId="2" type="noConversion"/>
  </si>
  <si>
    <t>D-FAST RECOVERY;SFN20A600HC</t>
    <phoneticPr fontId="2" type="noConversion"/>
  </si>
  <si>
    <t>600V;20000mA;TO-220F-3L;BK;22nSec;ST;2.54mm;H0;M1;</t>
    <phoneticPr fontId="2" type="noConversion"/>
  </si>
  <si>
    <t>500V;39uF;±20%;-25 ~+105℃;10*50mm;BK;ㄱ;5mm;</t>
    <phoneticPr fontId="2" type="noConversion"/>
  </si>
  <si>
    <t>MQEAA109030</t>
    <phoneticPr fontId="2" type="noConversion"/>
  </si>
  <si>
    <t>LP801CS,LP802CS</t>
    <phoneticPr fontId="2" type="noConversion"/>
  </si>
  <si>
    <t>CORE FERRITE;BEAD HBA2550PL</t>
    <phoneticPr fontId="2" type="noConversion"/>
  </si>
  <si>
    <t>50Z;2.5*5mm;TP;</t>
    <phoneticPr fontId="2" type="noConversion"/>
  </si>
  <si>
    <t>BEAD CORE BAS2550T0</t>
    <phoneticPr fontId="2" type="noConversion"/>
  </si>
  <si>
    <t>⊙</t>
    <phoneticPr fontId="2" type="noConversion"/>
  </si>
  <si>
    <t>자삽
RADIAL</t>
    <phoneticPr fontId="2" type="noConversion"/>
  </si>
  <si>
    <t>C-EL;HML 50V 22uF 6.3*7</t>
  </si>
  <si>
    <t>50V;22uF;±20%;-40~+105℃;6.3*7mm;TP;ST;2.5mm;</t>
  </si>
  <si>
    <t>삼영전자</t>
  </si>
  <si>
    <t>C-EL;ZT 50V 22uF 6.3*7</t>
  </si>
  <si>
    <t>삼화전기</t>
  </si>
  <si>
    <t>C-EL;ZT 50V 47uF 8*7</t>
  </si>
  <si>
    <t>D-FAST RECOVERY;U20A6CIC</t>
    <phoneticPr fontId="2" type="noConversion"/>
  </si>
  <si>
    <t>DP801,DP802</t>
    <phoneticPr fontId="2" type="noConversion"/>
  </si>
  <si>
    <t>MPCAA011060</t>
    <phoneticPr fontId="2" type="noConversion"/>
  </si>
  <si>
    <t>MQAAG087090</t>
    <phoneticPr fontId="2" type="noConversion"/>
  </si>
  <si>
    <t>CM924,CM925,CM926,CM927</t>
    <phoneticPr fontId="2" type="noConversion"/>
  </si>
  <si>
    <t>MQEAA109150</t>
    <phoneticPr fontId="2" type="noConversion"/>
  </si>
  <si>
    <t>MRFAC000410</t>
    <phoneticPr fontId="2" type="noConversion"/>
  </si>
  <si>
    <t>MRBAD002320</t>
    <phoneticPr fontId="2" type="noConversion"/>
  </si>
  <si>
    <t>400V;0.00033uF;K;BK;SMD;11.4mm;-25~+85℃;</t>
    <phoneticPr fontId="2" type="noConversion"/>
  </si>
  <si>
    <t>D-SCHOTTKY;SS220A</t>
    <phoneticPr fontId="48" type="noConversion"/>
  </si>
  <si>
    <t>200V;2A;SMA;TP;SMD;H2;M1;</t>
    <phoneticPr fontId="2" type="noConversion"/>
  </si>
  <si>
    <t>200V;2A;SMA;TP;SMD;H2;M1;</t>
    <phoneticPr fontId="4" type="noConversion"/>
  </si>
  <si>
    <t>FOR CP815S,CP816S,CP817S,CP818S</t>
    <phoneticPr fontId="2" type="noConversion"/>
  </si>
  <si>
    <t>MPBAI013770</t>
    <phoneticPr fontId="2" type="noConversion"/>
  </si>
  <si>
    <t>MPCAA011350</t>
    <phoneticPr fontId="2" type="noConversion"/>
  </si>
  <si>
    <t>TR-SMALL SIGNAL;BRKSD1616(A)G</t>
    <phoneticPr fontId="2" type="noConversion"/>
  </si>
  <si>
    <t>NPN;60V;1A;750mW;TO-92;H3A;N/A;</t>
    <phoneticPr fontId="2" type="noConversion"/>
  </si>
  <si>
    <t>BLUE ROCKET</t>
    <phoneticPr fontId="2" type="noConversion"/>
  </si>
  <si>
    <t>수삽</t>
    <phoneticPr fontId="2" type="noConversion"/>
  </si>
  <si>
    <t>MRNAA047090</t>
    <phoneticPr fontId="2" type="noConversion"/>
  </si>
  <si>
    <t>PCB;L85SA9NA_ADY(Relay PCB)</t>
    <phoneticPr fontId="2" type="noConversion"/>
  </si>
  <si>
    <t>FR-4;H1600A , NY-1600;1.6T;245*330mm;2layer;1Oz;V-</t>
    <phoneticPr fontId="2" type="noConversion"/>
  </si>
  <si>
    <t>고신전자</t>
    <phoneticPr fontId="2" type="noConversion"/>
  </si>
  <si>
    <t>HUIHO</t>
    <phoneticPr fontId="2" type="noConversion"/>
  </si>
  <si>
    <t>LINE FILTER</t>
    <phoneticPr fontId="2" type="noConversion"/>
  </si>
  <si>
    <t>MQAAG023920</t>
    <phoneticPr fontId="2" type="noConversion"/>
  </si>
  <si>
    <t>R-CHIP;3216 10KΩ F</t>
    <phoneticPr fontId="4" type="noConversion"/>
  </si>
  <si>
    <t>10KΩ;1/4W;F;3216;</t>
    <phoneticPr fontId="4" type="noConversion"/>
  </si>
  <si>
    <t>YAGEO</t>
    <phoneticPr fontId="2" type="noConversion"/>
  </si>
  <si>
    <t>SMD</t>
    <phoneticPr fontId="2" type="noConversion"/>
  </si>
  <si>
    <t>MQAAG099430</t>
    <phoneticPr fontId="2" type="noConversion"/>
  </si>
  <si>
    <t>R-CHIP;RM12FTN1002</t>
    <phoneticPr fontId="4" type="noConversion"/>
  </si>
  <si>
    <t>10KΩ;1/4W;1%;3216;</t>
    <phoneticPr fontId="4" type="noConversion"/>
  </si>
  <si>
    <t>MQAAG103150</t>
    <phoneticPr fontId="2" type="noConversion"/>
  </si>
  <si>
    <t>R-CHIP;CR-06FL7-10K</t>
    <phoneticPr fontId="2" type="noConversion"/>
  </si>
  <si>
    <t>10KΩ;1/4W;1%;3216;</t>
    <phoneticPr fontId="2" type="noConversion"/>
  </si>
  <si>
    <t>R-CHIP</t>
    <phoneticPr fontId="2" type="noConversion"/>
  </si>
  <si>
    <t>YAGEO</t>
    <phoneticPr fontId="2" type="noConversion"/>
  </si>
  <si>
    <t>HS</t>
    <phoneticPr fontId="2" type="noConversion"/>
  </si>
  <si>
    <t>QM811</t>
    <phoneticPr fontId="2" type="noConversion"/>
  </si>
  <si>
    <t>FET</t>
    <phoneticPr fontId="2" type="noConversion"/>
  </si>
  <si>
    <t>MPCAE013050</t>
    <phoneticPr fontId="2" type="noConversion"/>
  </si>
  <si>
    <t>40V 36.5A TO-220 TYPE</t>
    <phoneticPr fontId="2" type="noConversion"/>
  </si>
  <si>
    <t>MAGNACHIP</t>
    <phoneticPr fontId="2" type="noConversion"/>
  </si>
  <si>
    <t>MPCAE014760</t>
    <phoneticPr fontId="2" type="noConversion"/>
  </si>
  <si>
    <t>FET;AOTF409</t>
    <phoneticPr fontId="2" type="noConversion"/>
  </si>
  <si>
    <t>WHITE PASTE</t>
    <phoneticPr fontId="2" type="noConversion"/>
  </si>
  <si>
    <t>COMPOUND G-746</t>
    <phoneticPr fontId="2" type="noConversion"/>
  </si>
  <si>
    <t>⊙WHITE</t>
    <phoneticPr fontId="2" type="noConversion"/>
  </si>
  <si>
    <t>SHINETSU</t>
    <phoneticPr fontId="2" type="noConversion"/>
  </si>
  <si>
    <t>MQAAG084300</t>
    <phoneticPr fontId="2" type="noConversion"/>
  </si>
  <si>
    <t>R-CHIP;3216 470Ω F</t>
    <phoneticPr fontId="2" type="noConversion"/>
  </si>
  <si>
    <t>YAGEO</t>
    <phoneticPr fontId="2" type="noConversion"/>
  </si>
  <si>
    <t>SMD</t>
    <phoneticPr fontId="2" type="noConversion"/>
  </si>
  <si>
    <t>MQAAG101550</t>
    <phoneticPr fontId="2" type="noConversion"/>
  </si>
  <si>
    <t>R-CHIP;RM12FTN4700</t>
    <phoneticPr fontId="2" type="noConversion"/>
  </si>
  <si>
    <t>0.47KΩ;1/4W;1%;3216;</t>
    <phoneticPr fontId="2" type="noConversion"/>
  </si>
  <si>
    <t>R-CHIP;CR-06FL7-470R</t>
    <phoneticPr fontId="2" type="noConversion"/>
  </si>
  <si>
    <t>0.47KΩ;1/4W;1%;3216;</t>
    <phoneticPr fontId="2" type="noConversion"/>
  </si>
  <si>
    <t>VIKING</t>
    <phoneticPr fontId="2" type="noConversion"/>
  </si>
  <si>
    <t>R-CHIP;RM12FTN2201</t>
    <phoneticPr fontId="4" type="noConversion"/>
  </si>
  <si>
    <t>MQAAG091830</t>
    <phoneticPr fontId="2" type="noConversion"/>
  </si>
  <si>
    <t>R-CHIP;CR-06FL7-2K2</t>
    <phoneticPr fontId="2" type="noConversion"/>
  </si>
  <si>
    <t>R-CHIP</t>
    <phoneticPr fontId="2" type="noConversion"/>
  </si>
  <si>
    <t>R-CHIP;3216 4.7KΩ F</t>
    <phoneticPr fontId="2" type="noConversion"/>
  </si>
  <si>
    <t>4.7KΩ;1/4W;F;3216;</t>
    <phoneticPr fontId="2" type="noConversion"/>
  </si>
  <si>
    <t>YAGEO</t>
    <phoneticPr fontId="2" type="noConversion"/>
  </si>
  <si>
    <t>SMD</t>
    <phoneticPr fontId="2" type="noConversion"/>
  </si>
  <si>
    <t>R-CHIP;RM12FTN4701</t>
    <phoneticPr fontId="2" type="noConversion"/>
  </si>
  <si>
    <t>4.7KΩ;1/4W;1%;3216;</t>
    <phoneticPr fontId="2" type="noConversion"/>
  </si>
  <si>
    <t>400V;0.00033uF;K;BK;SMD;11.4mm;-25～+85℃;</t>
    <phoneticPr fontId="2" type="noConversion"/>
  </si>
  <si>
    <t>Y-CAP</t>
    <phoneticPr fontId="2" type="noConversion"/>
  </si>
  <si>
    <t>C-CERAMIC(DISK);CT7-400VAC-Y1-B-331K SMD</t>
    <phoneticPr fontId="2" type="noConversion"/>
  </si>
  <si>
    <t>ANSHAN KEIFAT ELECTRONIC CERAMIC TECHNICAL</t>
    <phoneticPr fontId="2" type="noConversion"/>
  </si>
  <si>
    <t>SMD</t>
    <phoneticPr fontId="2" type="noConversion"/>
  </si>
  <si>
    <t>MQCAA028360</t>
    <phoneticPr fontId="2" type="noConversion"/>
  </si>
  <si>
    <t>C-CERAMIC(DISK);DK1B3EA331K86RAH01</t>
    <phoneticPr fontId="2" type="noConversion"/>
  </si>
  <si>
    <t>MURATA</t>
    <phoneticPr fontId="2" type="noConversion"/>
  </si>
  <si>
    <t>2W 47KΩ J</t>
  </si>
  <si>
    <t>R MTL GL]2W 47KΩ J</t>
  </si>
  <si>
    <t>CP815S,CP816S,CP817S,CP818S</t>
    <phoneticPr fontId="2" type="noConversion"/>
  </si>
  <si>
    <t>CP801S,CP802S</t>
    <phoneticPr fontId="2" type="noConversion"/>
  </si>
  <si>
    <t>R CHIP]3216 150Ω F</t>
  </si>
  <si>
    <t>1/4W 150Ω F 3216</t>
  </si>
  <si>
    <t>MQAAG100450</t>
  </si>
  <si>
    <t>R-CHIP;RM12FTN1500</t>
  </si>
  <si>
    <t>0.15KΩ;1/4W;1%;3216;</t>
  </si>
  <si>
    <t>MQAAG103470</t>
  </si>
  <si>
    <t>R-CHIP;CR-06FL7-150R</t>
  </si>
  <si>
    <t>CORE FERRITE BEAD]BAS3590 3.5*9.0 AXIAL</t>
    <phoneticPr fontId="2" type="noConversion"/>
  </si>
  <si>
    <t>ADP-4012WH</t>
  </si>
  <si>
    <t>2000V;0.00033uF;10%;TP;ST;5mm;-25~+125℃;</t>
    <phoneticPr fontId="2" type="noConversion"/>
  </si>
  <si>
    <t xml:space="preserve">MRBAB001440 </t>
  </si>
  <si>
    <t xml:space="preserve">FILTER-EMI ON BOARD; HBA3580PL </t>
  </si>
  <si>
    <t>AXIAL TYPE;</t>
  </si>
  <si>
    <t>MQAAG059680</t>
    <phoneticPr fontId="2" type="noConversion"/>
  </si>
  <si>
    <t>R-CHIP;1608 27KΩ F</t>
    <phoneticPr fontId="2" type="noConversion"/>
  </si>
  <si>
    <t>27KΩ;1/10W;F;1608;</t>
  </si>
  <si>
    <t>YAGEO</t>
    <phoneticPr fontId="2" type="noConversion"/>
  </si>
  <si>
    <t>MQAAG100200</t>
    <phoneticPr fontId="2" type="noConversion"/>
  </si>
  <si>
    <t>R-CHIP;RM06FTN2702</t>
    <phoneticPr fontId="2" type="noConversion"/>
  </si>
  <si>
    <t>27KΩ;1/10W;1%;1608;</t>
  </si>
  <si>
    <t>MQAAG059870</t>
    <phoneticPr fontId="2" type="noConversion"/>
  </si>
  <si>
    <t>R CHIP]CR-03 FL7 27K</t>
    <phoneticPr fontId="2" type="noConversion"/>
  </si>
  <si>
    <t>1/10W 27KΩ F 1608</t>
  </si>
  <si>
    <t>DIODE-ZENER</t>
    <phoneticPr fontId="2" type="noConversion"/>
  </si>
  <si>
    <t>MPBAD023070</t>
  </si>
  <si>
    <t>D ZENER CHIP KDZ7.5V</t>
  </si>
  <si>
    <t>7.5V 200mW 2012</t>
  </si>
  <si>
    <t>MPCAA011360</t>
    <phoneticPr fontId="2" type="noConversion"/>
  </si>
  <si>
    <t>SMD</t>
    <phoneticPr fontId="2" type="noConversion"/>
  </si>
  <si>
    <t>RM874,RM875</t>
    <phoneticPr fontId="2" type="noConversion"/>
  </si>
  <si>
    <t>RM877</t>
    <phoneticPr fontId="2" type="noConversion"/>
  </si>
  <si>
    <t>CM852,CM853,CM854,CM855</t>
    <phoneticPr fontId="2" type="noConversion"/>
  </si>
  <si>
    <t>ZDM801,ZDM805,ZDM806,ZDM807</t>
    <phoneticPr fontId="2" type="noConversion"/>
  </si>
  <si>
    <t>C-EL;NXQ]25V 390uF 8*15 3.2LA</t>
    <phoneticPr fontId="2" type="noConversion"/>
  </si>
  <si>
    <t>25V;390uF;±20%;-40~+105 ℃;8*15mm;BK;ㄱ;3.5mm;</t>
    <phoneticPr fontId="2" type="noConversion"/>
  </si>
  <si>
    <t>삼영전자</t>
    <phoneticPr fontId="2" type="noConversion"/>
  </si>
  <si>
    <t>MQEAA108570</t>
    <phoneticPr fontId="2" type="noConversion"/>
  </si>
  <si>
    <t>C-EL;LQ]25V 390uF 8*15 VJ FORMING</t>
  </si>
  <si>
    <t>25V;390uF;±20%;-40~+105℃;8*15mm;BK;ㄱ;3.5mm;</t>
  </si>
  <si>
    <t>삼화전기</t>
    <phoneticPr fontId="2" type="noConversion"/>
  </si>
  <si>
    <t>C-EL;NXQ 35V 330uF 8*20 3.2LA</t>
  </si>
  <si>
    <t>35V;330uF;±20%;-40~+105℃;8*20mm;BK;ㄱ;3.5mm;</t>
  </si>
  <si>
    <t>C-EL;LQ 35V 330uF 8*20 VJ FORMING</t>
  </si>
  <si>
    <t>C-EL;NBC 160V 33uF 8*20 3.2LA</t>
  </si>
  <si>
    <t>160V;33uF;±20%;-40~+105℃;8*20mm;BK;ㄱ;3.5mm;</t>
  </si>
  <si>
    <t>수삽</t>
    <phoneticPr fontId="2" type="noConversion"/>
  </si>
  <si>
    <t>C-EL;BL 160V 33uF 8*20 VJ FORMING</t>
  </si>
  <si>
    <t>TR-SMALL SIGNAL;KTA1385D</t>
    <phoneticPr fontId="2" type="noConversion"/>
  </si>
  <si>
    <t>PNP;-60V;-5A;1mW;TO-252;H3A;M1;</t>
  </si>
  <si>
    <t>UTC</t>
  </si>
  <si>
    <t>MQEAA109540</t>
    <phoneticPr fontId="2" type="noConversion"/>
  </si>
  <si>
    <t>RTV</t>
    <phoneticPr fontId="2" type="noConversion"/>
  </si>
  <si>
    <t>RTV H-828W1</t>
    <phoneticPr fontId="2" type="noConversion"/>
  </si>
  <si>
    <t>H-828W1</t>
    <phoneticPr fontId="2" type="noConversion"/>
  </si>
  <si>
    <t>수삽</t>
    <phoneticPr fontId="2" type="noConversion"/>
  </si>
  <si>
    <t>RTV EA4100</t>
    <phoneticPr fontId="2" type="noConversion"/>
  </si>
  <si>
    <t>WHITE</t>
    <phoneticPr fontId="2" type="noConversion"/>
  </si>
  <si>
    <t>DOW CORNING</t>
    <phoneticPr fontId="2" type="noConversion"/>
  </si>
  <si>
    <t>CP815S,CP816S,CP817S,CP818S,DP804C,QP801CS,QP804CS,DM812C,DM857C,DM858C,DM859C,DM860C,DM911C,DM912C,DM913C,DM914C,QM906CS,QM907CS</t>
    <phoneticPr fontId="2" type="noConversion"/>
  </si>
  <si>
    <t>COATING</t>
    <phoneticPr fontId="2" type="noConversion"/>
  </si>
  <si>
    <t>MFAAB001010</t>
    <phoneticPr fontId="2" type="noConversion"/>
  </si>
  <si>
    <t>BOND H-727C</t>
    <phoneticPr fontId="2" type="noConversion"/>
  </si>
  <si>
    <t>오공본드</t>
    <phoneticPr fontId="2" type="noConversion"/>
  </si>
  <si>
    <t>BOND류;BOND H-727C;Pail can type</t>
  </si>
  <si>
    <t>실리콘;옅은미색;UL 94 V-0급 (1.5mm 이상);DOT;</t>
  </si>
  <si>
    <t>오공본드</t>
  </si>
  <si>
    <t>MFAAB001070</t>
  </si>
  <si>
    <t>BOND;H-727C(7000)</t>
  </si>
  <si>
    <t>COATING(H-727C_7000) ;DOT;</t>
  </si>
  <si>
    <t>MFAAB001110</t>
    <phoneticPr fontId="2" type="noConversion"/>
  </si>
  <si>
    <t>유원엔알티</t>
    <phoneticPr fontId="2" type="noConversion"/>
  </si>
  <si>
    <t>IC-PWM CONTROLLER;UCC28064A</t>
    <phoneticPr fontId="2" type="noConversion"/>
  </si>
  <si>
    <t>SOIC (16);-40~125℃;14~21V;830mW;H0;M1;</t>
    <phoneticPr fontId="2" type="noConversion"/>
  </si>
  <si>
    <t>PNP;-60V;-5A;1mW;D-PACK;H3A;M1;</t>
    <phoneticPr fontId="2" type="noConversion"/>
  </si>
  <si>
    <t>C-EL;KU 500V 39uF 10*50 AL</t>
    <phoneticPr fontId="2" type="noConversion"/>
  </si>
  <si>
    <t>BBP801,BEM803,BEM804</t>
    <phoneticPr fontId="2" type="noConversion"/>
  </si>
  <si>
    <t>BBP804,BBP805,BBP806</t>
    <phoneticPr fontId="2" type="noConversion"/>
  </si>
  <si>
    <t>BBP810,BBP812,BBP816,BBP817</t>
    <phoneticPr fontId="2" type="noConversion"/>
  </si>
  <si>
    <t>FOR BD801S,BD803S</t>
    <phoneticPr fontId="2" type="noConversion"/>
  </si>
  <si>
    <t>CP828,CP833</t>
    <phoneticPr fontId="2" type="noConversion"/>
  </si>
  <si>
    <t>MPCAE017360</t>
  </si>
  <si>
    <t xml:space="preserve">FET; MMD60R280QRH </t>
  </si>
  <si>
    <t>NPN;600V;13.8A;500mW;TO-252(2L);H2;M3;</t>
  </si>
  <si>
    <t>QP801CS,QP803CS</t>
    <phoneticPr fontId="2" type="noConversion"/>
  </si>
  <si>
    <t>FOR DP804C,QP801CS,QP803CS</t>
    <phoneticPr fontId="2" type="noConversion"/>
  </si>
  <si>
    <t>RP820,RP847</t>
    <phoneticPr fontId="2" type="noConversion"/>
  </si>
  <si>
    <t>TM901CS</t>
    <phoneticPr fontId="2" type="noConversion"/>
  </si>
  <si>
    <t>MPBAE015130</t>
    <phoneticPr fontId="2" type="noConversion"/>
  </si>
  <si>
    <t>D SCHOTTKY MBRF20150CTL</t>
    <phoneticPr fontId="2" type="noConversion"/>
  </si>
  <si>
    <t>150V 20A TO-220F</t>
    <phoneticPr fontId="2" type="noConversion"/>
  </si>
  <si>
    <t>HS</t>
    <phoneticPr fontId="2" type="noConversion"/>
  </si>
  <si>
    <t>FM801S</t>
    <phoneticPr fontId="4" type="noConversion"/>
  </si>
  <si>
    <t>FUSE</t>
    <phoneticPr fontId="48" type="noConversion"/>
  </si>
  <si>
    <t>250V;3.15A;NA;Time Lag;Ceramic;BK;ㄱ;27.5mm;</t>
  </si>
  <si>
    <t>MRIAA010430</t>
  </si>
  <si>
    <t>FUSE-FERRULE;02153.15MXF151SPP</t>
    <phoneticPr fontId="2" type="noConversion"/>
  </si>
  <si>
    <t>250V;3.15A;H;Time Lag;Ceramic;BK;ㄱ;27.5mm;</t>
  </si>
  <si>
    <t>DIODE-SWITCHING</t>
    <phoneticPr fontId="2" type="noConversion"/>
  </si>
  <si>
    <t>D-SWITCHING;1N4148WS-HAF</t>
    <phoneticPr fontId="2" type="noConversion"/>
  </si>
  <si>
    <t>100V;150mA;SOD-323;TP;SMD;H1B;M2;</t>
  </si>
  <si>
    <t>MPBAA005870</t>
  </si>
  <si>
    <t>D-SWITCHING;KDS4148U</t>
    <phoneticPr fontId="2" type="noConversion"/>
  </si>
  <si>
    <t>75V;150mA;USC;SMD;H3A;M1;</t>
  </si>
  <si>
    <t>KEC</t>
    <phoneticPr fontId="2" type="noConversion"/>
  </si>
  <si>
    <t>FET</t>
    <phoneticPr fontId="2" type="noConversion"/>
  </si>
  <si>
    <t>MQAAG017820</t>
    <phoneticPr fontId="2" type="noConversion"/>
  </si>
  <si>
    <t>R-CHIP;2012 510Ω F</t>
  </si>
  <si>
    <t>510Ω;1/8W;F;2012;</t>
  </si>
  <si>
    <t>MQAAG099300</t>
  </si>
  <si>
    <t>R-CHIP;RM10FTN5100</t>
  </si>
  <si>
    <t>0.51KΩ;1/8W;1%;2012;</t>
  </si>
  <si>
    <t>R-CHIP;3216 24KΩ F</t>
  </si>
  <si>
    <t>1/4W;24KΩ;F;3216</t>
  </si>
  <si>
    <t>SMD</t>
    <phoneticPr fontId="2" type="noConversion"/>
  </si>
  <si>
    <t>MQAAG101750</t>
  </si>
  <si>
    <t>R-CHIP;RM12FTN2402</t>
  </si>
  <si>
    <t>24KΩ;1/4W;1%;3216;</t>
  </si>
  <si>
    <t>SMD</t>
    <phoneticPr fontId="2" type="noConversion"/>
  </si>
  <si>
    <t>50V;0.22uF;K;1608mm;X7R;</t>
  </si>
  <si>
    <t>SMD</t>
    <phoneticPr fontId="2" type="noConversion"/>
  </si>
  <si>
    <t>MQCAD034290</t>
  </si>
  <si>
    <t>C-MLC; CC0603KRX7R9BB224</t>
  </si>
  <si>
    <t>R-CHIP</t>
    <phoneticPr fontId="2" type="noConversion"/>
  </si>
  <si>
    <t>SMD</t>
    <phoneticPr fontId="2" type="noConversion"/>
  </si>
  <si>
    <t>RP840</t>
    <phoneticPr fontId="2" type="noConversion"/>
  </si>
  <si>
    <t>MQAAC043030</t>
    <phoneticPr fontId="2" type="noConversion"/>
  </si>
  <si>
    <t>MQAAG102040</t>
  </si>
  <si>
    <t>R-CHIP;RM12FTN7501</t>
  </si>
  <si>
    <t>7.5KΩ;1/4W;1%;3216;</t>
  </si>
  <si>
    <t>R-CHIP3216 7.5KΩ F</t>
  </si>
  <si>
    <t>MQCAD032540</t>
  </si>
  <si>
    <t>C-MLC;SH21B474K500</t>
  </si>
  <si>
    <t>50V;0.47uF;K;2012mm;X7R Crack강화;</t>
  </si>
  <si>
    <t>C-MLC;CS2012X7R474K500ARE</t>
  </si>
  <si>
    <t>50V;0.47uF;K;2012mm;X7R;Crack강화;</t>
  </si>
  <si>
    <t>MQCAD032550</t>
  </si>
  <si>
    <t>C-MLC;CS0805KRX7R9BB474</t>
  </si>
  <si>
    <t>트랜스온</t>
    <phoneticPr fontId="2" type="noConversion"/>
  </si>
  <si>
    <t>FP801S</t>
    <phoneticPr fontId="2" type="noConversion"/>
  </si>
  <si>
    <t>MQDAB021070</t>
  </si>
  <si>
    <t>C-FILM(PPF);460S 500V 824K (2570S) F/B 3</t>
  </si>
  <si>
    <t>500V;0.82uF;±100%;BK;26*16.5*7mm;ㄱ;-40~105℃;22.5mm</t>
  </si>
  <si>
    <t>선일전자</t>
  </si>
  <si>
    <t>성호전자</t>
    <phoneticPr fontId="2" type="noConversion"/>
  </si>
  <si>
    <t xml:space="preserve">C-FILM(PPF);436D 275V 474K (2570S) F/B 3.5mm SP </t>
    <phoneticPr fontId="2" type="noConversion"/>
  </si>
  <si>
    <t>275V;0.47uF;±10;BK;26*18*8.5mm;ㄱ;-40 ~ +105℃;22.5mm;</t>
    <phoneticPr fontId="2" type="noConversion"/>
  </si>
  <si>
    <t>선일전자</t>
    <phoneticPr fontId="2" type="noConversion"/>
  </si>
  <si>
    <t xml:space="preserve">MQDAB021750 </t>
    <phoneticPr fontId="2" type="noConversion"/>
  </si>
  <si>
    <t>C-FILM(PPF);CMPP AC275V474K22.5BYSP1N</t>
    <phoneticPr fontId="2" type="noConversion"/>
  </si>
  <si>
    <t xml:space="preserve">275V;0.47uF;±10;BK;26*17*8mmmm;ㄱ;-40℃～105℃℃;22.5mm; </t>
    <phoneticPr fontId="2" type="noConversion"/>
  </si>
  <si>
    <t>630V;0.01uF;±5%;BK;13*11*5mm;ㄱ;-45~85℃;10mm;</t>
  </si>
  <si>
    <t>성호전자</t>
  </si>
  <si>
    <t>630V;0.01uF;±5%;BK;12.5*11*5mm;ㄱ;-40~105℃;10mm;</t>
  </si>
  <si>
    <t>R-CEMENT</t>
    <phoneticPr fontId="2" type="noConversion"/>
  </si>
  <si>
    <t>IC-POSI.ADJUST.REG;TL432LIBQDBZR(0.5%)</t>
    <phoneticPr fontId="2" type="noConversion"/>
  </si>
  <si>
    <t>SOT-23;-40~125℃;36V;250mW;H2;M1;</t>
    <phoneticPr fontId="2" type="noConversion"/>
  </si>
  <si>
    <t>TEXAS INSTRUMENTS</t>
    <phoneticPr fontId="2" type="noConversion"/>
  </si>
  <si>
    <t>QM812</t>
    <phoneticPr fontId="2" type="noConversion"/>
  </si>
  <si>
    <t>FOR QM811,DM812C,DM858C,DM859C,DM860C</t>
    <phoneticPr fontId="2" type="noConversion"/>
  </si>
  <si>
    <t>CY803S,CY804S</t>
    <phoneticPr fontId="2" type="noConversion"/>
  </si>
  <si>
    <t>Y-CAP</t>
    <phoneticPr fontId="2" type="noConversion"/>
  </si>
  <si>
    <t>WANMING</t>
  </si>
  <si>
    <t>수삽</t>
    <phoneticPr fontId="2" type="noConversion"/>
  </si>
  <si>
    <t>400V;0.00033uF;±10%;BK;Y;12.5mm;-40 ~+125℃;</t>
    <phoneticPr fontId="2" type="noConversion"/>
  </si>
  <si>
    <t>WANSHENG</t>
    <phoneticPr fontId="48" type="noConversion"/>
  </si>
  <si>
    <t>THERMISTOR-NTC</t>
    <phoneticPr fontId="2" type="noConversion"/>
  </si>
  <si>
    <t>DSC</t>
    <phoneticPr fontId="2" type="noConversion"/>
  </si>
  <si>
    <t>SCREWLEES LUG_L40E1_KDY</t>
    <phoneticPr fontId="2" type="noConversion"/>
  </si>
  <si>
    <t>MBDAE006480</t>
  </si>
  <si>
    <t>SCREWLEES LUG_L40E1_KDY</t>
  </si>
  <si>
    <t>씨엔텍</t>
  </si>
  <si>
    <t>20.2478g</t>
    <phoneticPr fontId="2" type="noConversion"/>
  </si>
  <si>
    <t>5.51g</t>
    <phoneticPr fontId="2" type="noConversion"/>
  </si>
  <si>
    <t>1.5g</t>
    <phoneticPr fontId="2" type="noConversion"/>
  </si>
  <si>
    <t>10g</t>
    <phoneticPr fontId="2" type="noConversion"/>
  </si>
  <si>
    <t>ICM851,ICM903</t>
    <phoneticPr fontId="2" type="noConversion"/>
  </si>
  <si>
    <t>IC-POSI.
ADJUST REG.</t>
    <phoneticPr fontId="4" type="noConversion"/>
  </si>
  <si>
    <t>MPJAR001700</t>
    <phoneticPr fontId="2" type="noConversion"/>
  </si>
  <si>
    <t>IC-POSI.ADJUST.REG;LR431APTLT1H(0.5%)</t>
    <phoneticPr fontId="2" type="noConversion"/>
  </si>
  <si>
    <t>SOT-23;- 40℃~+125℃;36V;250mW;H2;M1</t>
    <phoneticPr fontId="2" type="noConversion"/>
  </si>
  <si>
    <t>LRC</t>
    <phoneticPr fontId="2" type="noConversion"/>
  </si>
  <si>
    <t>MPJAR001880</t>
    <phoneticPr fontId="2" type="noConversion"/>
  </si>
  <si>
    <t>MPJAQ000280</t>
    <phoneticPr fontId="2" type="noConversion"/>
  </si>
  <si>
    <t>IC-POSI.FIXED REG;KIA431BM</t>
    <phoneticPr fontId="2" type="noConversion"/>
  </si>
  <si>
    <t>SOT-23;-40℃~+85℃;36V;350mW;H3A;M1;</t>
  </si>
  <si>
    <t>MPJAR001720</t>
  </si>
  <si>
    <t>IC-POSI.ADJUST.REG;TL431GAE3R(0.5%)</t>
    <phoneticPr fontId="2" type="noConversion"/>
  </si>
  <si>
    <t>SOT-23;-40℃~+125℃;37V;300mW;H2;M3</t>
  </si>
  <si>
    <t>UTC</t>
    <phoneticPr fontId="2" type="noConversion"/>
  </si>
  <si>
    <t>MQAAG023630</t>
    <phoneticPr fontId="2" type="noConversion"/>
  </si>
  <si>
    <t>R-CHIP;RM12FTN10R0</t>
  </si>
  <si>
    <t>MQAAG099420</t>
  </si>
  <si>
    <t>R-CHIP;CR-06FL7-30K</t>
    <phoneticPr fontId="2" type="noConversion"/>
  </si>
  <si>
    <t>MQAAG103620</t>
  </si>
  <si>
    <t>R-CHIP;CR-06FL7-24K</t>
  </si>
  <si>
    <t>MBBAA041500</t>
    <phoneticPr fontId="2" type="noConversion"/>
  </si>
  <si>
    <t>HEAT SINK;HEAT SINK-2_L65SA8NA_BDY</t>
    <phoneticPr fontId="2" type="noConversion"/>
  </si>
  <si>
    <t>AL6063;4T;165.0*30.0*7.8mm;Extruding;White Anodizing;</t>
    <phoneticPr fontId="2" type="noConversion"/>
  </si>
  <si>
    <t>MBBAA041470</t>
    <phoneticPr fontId="2" type="noConversion"/>
  </si>
  <si>
    <t>HEAT SINK;HEAT SINK-1_L65SA8NA_BDY(1)</t>
    <phoneticPr fontId="2" type="noConversion"/>
  </si>
  <si>
    <t>R-CHIP</t>
    <phoneticPr fontId="2" type="noConversion"/>
  </si>
  <si>
    <t>R CHIP]3216 12KΩ F</t>
  </si>
  <si>
    <t>1/4W 12KΩ F 3216</t>
  </si>
  <si>
    <t>MQAAG105590</t>
  </si>
  <si>
    <t>R-CHIP;RM12FTN1202</t>
  </si>
  <si>
    <t>12KΩ;1/4W;1%;3216;</t>
  </si>
  <si>
    <t>MQAAG105600</t>
  </si>
  <si>
    <t>R-CHIP;CR-06FL7-12K</t>
  </si>
  <si>
    <t>STMICRO</t>
  </si>
  <si>
    <t>DRAIN HOLDER</t>
    <phoneticPr fontId="2" type="noConversion"/>
  </si>
  <si>
    <t>AL1050;0.25T;ø10.8*11mm;</t>
  </si>
  <si>
    <t xml:space="preserve">Al 및 Al합금;DRAIN HOLDER_10PI(SLIM)_L65SA8(9)NA_CDY </t>
    <phoneticPr fontId="2" type="noConversion"/>
  </si>
  <si>
    <t>VARISTOR</t>
    <phoneticPr fontId="2" type="noConversion"/>
  </si>
  <si>
    <t>VARISTOR;WMR14D751KK3B3.5W-TB</t>
    <phoneticPr fontId="2" type="noConversion"/>
  </si>
  <si>
    <t>WANMING</t>
    <phoneticPr fontId="2" type="noConversion"/>
  </si>
  <si>
    <t>MQBAH009050</t>
    <phoneticPr fontId="2" type="noConversion"/>
  </si>
  <si>
    <t>VARISTOR;ZVR14D751KT8C7G1</t>
  </si>
  <si>
    <t>750V;14phi;BK;ㄱ;</t>
  </si>
  <si>
    <t>HONGMING</t>
  </si>
  <si>
    <t>MPCAE017370</t>
  </si>
  <si>
    <t>FET; STD16N60M2</t>
  </si>
  <si>
    <t>NPN;600V;12A;500mW;DPAK;H2;M2;</t>
  </si>
  <si>
    <t>X-CAP</t>
    <phoneticPr fontId="2" type="noConversion"/>
  </si>
  <si>
    <t>FUSE-FERRULE;BKS33-S505SC-3-15-R</t>
    <phoneticPr fontId="2" type="noConversion"/>
  </si>
  <si>
    <t>80V;20A;ITO-220AB;BK;ST;2.54mm;H2;N/A;</t>
  </si>
  <si>
    <t>MPBAE017810</t>
    <phoneticPr fontId="2" type="noConversion"/>
  </si>
  <si>
    <t>MPCAA010190</t>
    <phoneticPr fontId="2" type="noConversion"/>
  </si>
  <si>
    <t>TR-SMALL SIGNAL;MMBT2907A;</t>
  </si>
  <si>
    <t>DACHANG</t>
    <phoneticPr fontId="2" type="noConversion"/>
  </si>
  <si>
    <t>D-RECTIFIER;GS1M</t>
    <phoneticPr fontId="2" type="noConversion"/>
  </si>
  <si>
    <t>1000V;1A;SMA;BK;0.0025nSec;SMD;H3A;M1;</t>
    <phoneticPr fontId="2" type="noConversion"/>
  </si>
  <si>
    <t>MPBAB006330</t>
    <phoneticPr fontId="2" type="noConversion"/>
  </si>
  <si>
    <t>D-RECTIFIER;S5JB</t>
    <phoneticPr fontId="2" type="noConversion"/>
  </si>
  <si>
    <t>600V;5A;SMB;1000nS~5000nS;H2;1</t>
    <phoneticPr fontId="2" type="noConversion"/>
  </si>
  <si>
    <t>DACHANG</t>
    <phoneticPr fontId="2" type="noConversion"/>
  </si>
  <si>
    <t>D-SCHOTTKY;MBRF2080CTP</t>
    <phoneticPr fontId="2" type="noConversion"/>
  </si>
  <si>
    <t>MPCAE012400</t>
    <phoneticPr fontId="2" type="noConversion"/>
  </si>
  <si>
    <t>FET]2N7002KA</t>
    <phoneticPr fontId="2" type="noConversion"/>
  </si>
  <si>
    <t>D-SCHOTTKY;MBRF2080CTL</t>
    <phoneticPr fontId="2" type="noConversion"/>
  </si>
  <si>
    <t>TR-SMALL+SIGNAL;2SB1151</t>
    <phoneticPr fontId="2" type="noConversion"/>
  </si>
  <si>
    <t>TR-SMALL SIGNAL;2SC4541U</t>
    <phoneticPr fontId="4" type="noConversion"/>
  </si>
  <si>
    <t>TR-SMALL SIGNAL;KTN2907AS;</t>
    <phoneticPr fontId="2" type="noConversion"/>
  </si>
  <si>
    <t>D RECTIFIER S1M</t>
    <phoneticPr fontId="2" type="noConversion"/>
  </si>
  <si>
    <t>SENSITRON (SMC)</t>
    <phoneticPr fontId="2" type="noConversion"/>
  </si>
  <si>
    <t>D-SCHOTTKY;SK220A</t>
    <phoneticPr fontId="48" type="noConversion"/>
  </si>
  <si>
    <t>D RECTIFIER;SD560B</t>
    <phoneticPr fontId="2" type="noConversion"/>
  </si>
  <si>
    <t>D-SWITCHING;BAW56-HAF</t>
    <phoneticPr fontId="2" type="noConversion"/>
  </si>
  <si>
    <t>75V;215mA;SOT-23;BK;SMD;H3A;M1;</t>
    <phoneticPr fontId="2" type="noConversion"/>
  </si>
  <si>
    <t>D-SWITCHING;BAV70-HAF</t>
    <phoneticPr fontId="2" type="noConversion"/>
  </si>
  <si>
    <t>100V;200mA;SOT-23;BK;SMD;H3A;M1;</t>
    <phoneticPr fontId="2" type="noConversion"/>
  </si>
  <si>
    <t>7.5V;300mW;sod323;H2;M1;</t>
    <phoneticPr fontId="2" type="noConversion"/>
  </si>
  <si>
    <t>SEMTECH</t>
    <phoneticPr fontId="2" type="noConversion"/>
  </si>
  <si>
    <t>C-FILM(PPF);460S 630V 103K (1250S) F/B</t>
  </si>
  <si>
    <t>MRJAK029730</t>
  </si>
  <si>
    <t>CONNECTOR-FPC;HAANR020A</t>
  </si>
  <si>
    <t>250V;3A;20pin;2.5mm;V-0;BLACK;</t>
  </si>
  <si>
    <t>MRJBC008620</t>
  </si>
  <si>
    <t>PLUG-OUTLET;ST-A03-003D-A-A17+F04</t>
  </si>
  <si>
    <t>250V;2.5A;-25~85℃;</t>
  </si>
  <si>
    <t>BEJ</t>
  </si>
  <si>
    <t>MQCAD030860</t>
  </si>
  <si>
    <t>C-MLC;SH21B103K500</t>
  </si>
  <si>
    <t>50V;0.01uF;K;2012mm;X7R;</t>
  </si>
  <si>
    <t>MQCAD038480</t>
  </si>
  <si>
    <t>C-MLC;CS0805KKX7R9BB103</t>
  </si>
  <si>
    <t>MQCAD033770</t>
  </si>
  <si>
    <t>C-MLC;0603B224K500CT</t>
  </si>
  <si>
    <t>C-MLCC CHIP</t>
    <phoneticPr fontId="2" type="noConversion"/>
  </si>
  <si>
    <t>C-MLC;CS1608X7R224K250ARB</t>
    <phoneticPr fontId="2" type="noConversion"/>
  </si>
  <si>
    <t>25V;0.22uF;K;1608mm;X7R(Crack강화);</t>
    <phoneticPr fontId="2" type="noConversion"/>
  </si>
  <si>
    <t>삼화콘덴서공업</t>
    <phoneticPr fontId="2" type="noConversion"/>
  </si>
  <si>
    <t>MQCAD028900</t>
    <phoneticPr fontId="2" type="noConversion"/>
  </si>
  <si>
    <t>C CRM SH18B224K250</t>
    <phoneticPr fontId="2" type="noConversion"/>
  </si>
  <si>
    <t>25V;220nF;K;1608;X7R;Crack강화</t>
    <phoneticPr fontId="2" type="noConversion"/>
  </si>
  <si>
    <t>WALSIN</t>
    <phoneticPr fontId="2" type="noConversion"/>
  </si>
  <si>
    <t>MQCAD028180</t>
    <phoneticPr fontId="2" type="noConversion"/>
  </si>
  <si>
    <t>C CRM CS0603KRX7R8BB224</t>
    <phoneticPr fontId="2" type="noConversion"/>
  </si>
  <si>
    <t>25V;220nF;K;1608;X7R;Crack강화</t>
    <phoneticPr fontId="2" type="noConversion"/>
  </si>
  <si>
    <t>YAGEO</t>
    <phoneticPr fontId="2" type="noConversion"/>
  </si>
  <si>
    <t>C-MLCC CHIP</t>
    <phoneticPr fontId="2" type="noConversion"/>
  </si>
  <si>
    <t>C-MLC;CS1608X7R474K250ARB</t>
    <phoneticPr fontId="2" type="noConversion"/>
  </si>
  <si>
    <t>25V;0.47uF;K;1608mm;CRACK 강화품;</t>
    <phoneticPr fontId="2" type="noConversion"/>
  </si>
  <si>
    <t>MQCAD032490</t>
    <phoneticPr fontId="2" type="noConversion"/>
  </si>
  <si>
    <t>C-MLC;SH18B474K250</t>
    <phoneticPr fontId="2" type="noConversion"/>
  </si>
  <si>
    <t>25V;0.47uF;K;1608mm;X7R Crack강화;</t>
    <phoneticPr fontId="2" type="noConversion"/>
  </si>
  <si>
    <t>MQCAD032500</t>
    <phoneticPr fontId="2" type="noConversion"/>
  </si>
  <si>
    <t>C-MLC;CS0603KRX7R8BB474</t>
    <phoneticPr fontId="2" type="noConversion"/>
  </si>
  <si>
    <t>YAGEO</t>
    <phoneticPr fontId="2" type="noConversion"/>
  </si>
  <si>
    <t>CM859H</t>
    <phoneticPr fontId="2" type="noConversion"/>
  </si>
  <si>
    <t>C-MLCC CHIP</t>
    <phoneticPr fontId="2" type="noConversion"/>
  </si>
  <si>
    <t>C-MLC;CS2012X7R103K500ARB</t>
    <phoneticPr fontId="2" type="noConversion"/>
  </si>
  <si>
    <t>50V;0.01uF;K;2012mm;125;</t>
    <phoneticPr fontId="2" type="noConversion"/>
  </si>
  <si>
    <t>삼화콘덴서공업</t>
    <phoneticPr fontId="2" type="noConversion"/>
  </si>
  <si>
    <t>WALSIN</t>
    <phoneticPr fontId="2" type="noConversion"/>
  </si>
  <si>
    <t>CM930H,CQ853H,CQ855H</t>
    <phoneticPr fontId="2" type="noConversion"/>
  </si>
  <si>
    <t>C-MLC;CS1608C0G101J500ARB</t>
    <phoneticPr fontId="2" type="noConversion"/>
  </si>
  <si>
    <t>50V;0.0001uF;J;1608mm;C0G;Crack강화</t>
    <phoneticPr fontId="2" type="noConversion"/>
  </si>
  <si>
    <t>MQCAD028990</t>
    <phoneticPr fontId="2" type="noConversion"/>
  </si>
  <si>
    <t>C CRM SH18N101J500</t>
    <phoneticPr fontId="2" type="noConversion"/>
  </si>
  <si>
    <t>50V;0.1nF;J;1608;C0G;Crack강화</t>
    <phoneticPr fontId="2" type="noConversion"/>
  </si>
  <si>
    <t>C-MLC;CS1608X7R102K500ARB</t>
    <phoneticPr fontId="2" type="noConversion"/>
  </si>
  <si>
    <t>50V;0.001uF;K;1608mm;X7R Crack강화;</t>
    <phoneticPr fontId="2" type="noConversion"/>
  </si>
  <si>
    <t>MQCAD028940</t>
    <phoneticPr fontId="2" type="noConversion"/>
  </si>
  <si>
    <t>C CRM SH18B102K500</t>
    <phoneticPr fontId="2" type="noConversion"/>
  </si>
  <si>
    <t>50V;1nF;K;1608;X7R;Crack강화</t>
    <phoneticPr fontId="2" type="noConversion"/>
  </si>
  <si>
    <t>MQCAD028270</t>
    <phoneticPr fontId="2" type="noConversion"/>
  </si>
  <si>
    <t>C-MLC;CS0603KRX7R9BB102</t>
    <phoneticPr fontId="2" type="noConversion"/>
  </si>
  <si>
    <t>50V;0.001uF;K;1608mm;X7R Crack강화;</t>
    <phoneticPr fontId="2" type="noConversion"/>
  </si>
  <si>
    <t>C CRM CS1608X7R103K500ARB</t>
    <phoneticPr fontId="2" type="noConversion"/>
  </si>
  <si>
    <t>MQCAD028800</t>
    <phoneticPr fontId="2" type="noConversion"/>
  </si>
  <si>
    <t>C CRM;SH18B103K500</t>
    <phoneticPr fontId="2" type="noConversion"/>
  </si>
  <si>
    <t>50V;10nF;K;1608;X7R;Crack강화</t>
    <phoneticPr fontId="2" type="noConversion"/>
  </si>
  <si>
    <t>MQCAD028240</t>
    <phoneticPr fontId="2" type="noConversion"/>
  </si>
  <si>
    <t>C CRM CS0603KRX7R9BB103</t>
    <phoneticPr fontId="2" type="noConversion"/>
  </si>
  <si>
    <t>50V;10nF;K;1608;X7R;Crack강화</t>
    <phoneticPr fontId="2" type="noConversion"/>
  </si>
  <si>
    <t>YAGEO</t>
    <phoneticPr fontId="2" type="noConversion"/>
  </si>
  <si>
    <t>MQCAD032360</t>
    <phoneticPr fontId="2" type="noConversion"/>
  </si>
  <si>
    <t>C-MLC;CS1608X7R104K500ARB</t>
    <phoneticPr fontId="2" type="noConversion"/>
  </si>
  <si>
    <t>50V;0.1uF;K;1608mm;X7R Crack강화;</t>
    <phoneticPr fontId="2" type="noConversion"/>
  </si>
  <si>
    <t>MQCAD028910</t>
    <phoneticPr fontId="2" type="noConversion"/>
  </si>
  <si>
    <t>C CRM SH18B104K500</t>
    <phoneticPr fontId="2" type="noConversion"/>
  </si>
  <si>
    <t>50V;100nF;K;1608;X7R;Crack강화</t>
    <phoneticPr fontId="2" type="noConversion"/>
  </si>
  <si>
    <t>CM807H,CQ852H,CQ854H</t>
    <phoneticPr fontId="2" type="noConversion"/>
  </si>
  <si>
    <t>MQCAD032380</t>
    <phoneticPr fontId="2" type="noConversion"/>
  </si>
  <si>
    <t>C-MLC;CS1608C0G220J500ARB</t>
    <phoneticPr fontId="2" type="noConversion"/>
  </si>
  <si>
    <t>50V;0.000022uF;J;1608mm;COG Crack강화;</t>
    <phoneticPr fontId="2" type="noConversion"/>
  </si>
  <si>
    <t>MQCAD029010</t>
    <phoneticPr fontId="2" type="noConversion"/>
  </si>
  <si>
    <t>C CRM SH18N220J500</t>
    <phoneticPr fontId="2" type="noConversion"/>
  </si>
  <si>
    <t>50V;0.022nF;J;1608;C0G;Crack강화</t>
    <phoneticPr fontId="2" type="noConversion"/>
  </si>
  <si>
    <t>MQCAD032620</t>
    <phoneticPr fontId="2" type="noConversion"/>
  </si>
  <si>
    <t>C-MLC;CS0603JRNPO9BN220</t>
    <phoneticPr fontId="2" type="noConversion"/>
  </si>
  <si>
    <t>CM809H,CM814H</t>
    <phoneticPr fontId="2" type="noConversion"/>
  </si>
  <si>
    <t>C-MLC;CS1608C0G221J500ARB</t>
    <phoneticPr fontId="2" type="noConversion"/>
  </si>
  <si>
    <t>50V;0.00022uF;J;1608mm;COG Crack강화;</t>
    <phoneticPr fontId="2" type="noConversion"/>
  </si>
  <si>
    <t>MQCAD028980</t>
    <phoneticPr fontId="2" type="noConversion"/>
  </si>
  <si>
    <t>C CRM SH18N221J500</t>
    <phoneticPr fontId="2" type="noConversion"/>
  </si>
  <si>
    <t>50V;0.22nF;J;1608;C0G;Crack강화</t>
    <phoneticPr fontId="2" type="noConversion"/>
  </si>
  <si>
    <t>MQCAD032480</t>
    <phoneticPr fontId="2" type="noConversion"/>
  </si>
  <si>
    <t>C-MLC;CS0603JRNPO9BN221</t>
    <phoneticPr fontId="2" type="noConversion"/>
  </si>
  <si>
    <t>50V;0.00022uF;J;1608mm;COG Crack강화;</t>
    <phoneticPr fontId="2" type="noConversion"/>
  </si>
  <si>
    <t>CM803H,CM806H,CM815H,CM834H,CP807H,CP812H,CP813H,CP814H,CP826H</t>
    <phoneticPr fontId="2" type="noConversion"/>
  </si>
  <si>
    <t>C CRM CS1608X7R222K500ARB</t>
    <phoneticPr fontId="2" type="noConversion"/>
  </si>
  <si>
    <t>50V;0.0022uF;K;1608mm;X7R;Crack강화</t>
    <phoneticPr fontId="2" type="noConversion"/>
  </si>
  <si>
    <t>MQCAD028820</t>
    <phoneticPr fontId="2" type="noConversion"/>
  </si>
  <si>
    <t>C CRM;SH18B222K500</t>
    <phoneticPr fontId="2" type="noConversion"/>
  </si>
  <si>
    <t>50V;2.2nF;K;1608;X7R;Crack강화</t>
    <phoneticPr fontId="2" type="noConversion"/>
  </si>
  <si>
    <t>MQCAD028260</t>
    <phoneticPr fontId="2" type="noConversion"/>
  </si>
  <si>
    <t>C CRM CS0603KRX7R9BB222</t>
    <phoneticPr fontId="2" type="noConversion"/>
  </si>
  <si>
    <t>50V;2.2nF;K;1608;X7R;Crack강화</t>
    <phoneticPr fontId="2" type="noConversion"/>
  </si>
  <si>
    <t>C-MLCC CHIP</t>
    <phoneticPr fontId="2" type="noConversion"/>
  </si>
  <si>
    <t>CS1608X7R223K500ARB</t>
    <phoneticPr fontId="2" type="noConversion"/>
  </si>
  <si>
    <t>1608, 22nF(223)K 50V(CRACK 강화품)</t>
    <phoneticPr fontId="2" type="noConversion"/>
  </si>
  <si>
    <t>삼화콘덴서</t>
    <phoneticPr fontId="2" type="noConversion"/>
  </si>
  <si>
    <t>MQCAD028790</t>
    <phoneticPr fontId="2" type="noConversion"/>
  </si>
  <si>
    <t>C CRM;SH18B223K500</t>
    <phoneticPr fontId="2" type="noConversion"/>
  </si>
  <si>
    <t>1608, 22nF(223)K 50V(CRACK 강화품)</t>
    <phoneticPr fontId="2" type="noConversion"/>
  </si>
  <si>
    <t>MQCAD028230</t>
    <phoneticPr fontId="2" type="noConversion"/>
  </si>
  <si>
    <t>C CRM CS0603KRX7R9BB223</t>
    <phoneticPr fontId="2" type="noConversion"/>
  </si>
  <si>
    <t>1608, 22nF(223)K 50V(CRACK 강화품)</t>
    <phoneticPr fontId="2" type="noConversion"/>
  </si>
  <si>
    <t>CM835H</t>
    <phoneticPr fontId="2" type="noConversion"/>
  </si>
  <si>
    <t>MQCAD031920</t>
    <phoneticPr fontId="2" type="noConversion"/>
  </si>
  <si>
    <t>C-MLC;CS1608X7R224K500ARB</t>
    <phoneticPr fontId="2" type="noConversion"/>
  </si>
  <si>
    <t>C-MLC;CS1608X7R331K500ARB</t>
    <phoneticPr fontId="2" type="noConversion"/>
  </si>
  <si>
    <t>50V;0.00033uF;K;1608mm;X7R Crack강화;</t>
    <phoneticPr fontId="2" type="noConversion"/>
  </si>
  <si>
    <t>MQCAD028970</t>
    <phoneticPr fontId="2" type="noConversion"/>
  </si>
  <si>
    <t>C CRM SH18B331K500</t>
    <phoneticPr fontId="2" type="noConversion"/>
  </si>
  <si>
    <t>50V;0.33nF;K;1608;X7R;Crack강화</t>
    <phoneticPr fontId="2" type="noConversion"/>
  </si>
  <si>
    <t>CP808H,CP821H</t>
    <phoneticPr fontId="2" type="noConversion"/>
  </si>
  <si>
    <t>C-MLC;CS1608C0G470J500ARB</t>
    <phoneticPr fontId="2" type="noConversion"/>
  </si>
  <si>
    <t>50V;0.000047uF;J;1608mm;C0G;Crack강화</t>
    <phoneticPr fontId="2" type="noConversion"/>
  </si>
  <si>
    <t>삼화콘덴서공업</t>
    <phoneticPr fontId="2" type="noConversion"/>
  </si>
  <si>
    <t>MQCAD029000</t>
    <phoneticPr fontId="2" type="noConversion"/>
  </si>
  <si>
    <t>C CRM SH18N470J500</t>
    <phoneticPr fontId="2" type="noConversion"/>
  </si>
  <si>
    <t>50V;0.047nF;J;1608;C0G;Crack강화</t>
    <phoneticPr fontId="2" type="noConversion"/>
  </si>
  <si>
    <t>CM804H</t>
    <phoneticPr fontId="2" type="noConversion"/>
  </si>
  <si>
    <t>MQCAD032390</t>
    <phoneticPr fontId="2" type="noConversion"/>
  </si>
  <si>
    <t>C-MLC;CS1608X7R472K500ARB</t>
    <phoneticPr fontId="2" type="noConversion"/>
  </si>
  <si>
    <t>50V;0.0047uF;K;1608mm;X7R(CRACK강화);</t>
    <phoneticPr fontId="2" type="noConversion"/>
  </si>
  <si>
    <t>MQCAD028810</t>
    <phoneticPr fontId="2" type="noConversion"/>
  </si>
  <si>
    <t>C CRM;SH18B472K500</t>
    <phoneticPr fontId="2" type="noConversion"/>
  </si>
  <si>
    <t>50V;4.7nF;K;1608;X7R;Crack강화</t>
    <phoneticPr fontId="2" type="noConversion"/>
  </si>
  <si>
    <t>50V;4.7nF;K;1608;X7R;Crack강화</t>
    <phoneticPr fontId="2" type="noConversion"/>
  </si>
  <si>
    <t>MQCAD028250</t>
    <phoneticPr fontId="2" type="noConversion"/>
  </si>
  <si>
    <t>C CRM CS0603KRX7R9BB472</t>
    <phoneticPr fontId="2" type="noConversion"/>
  </si>
  <si>
    <t>C-MLC;CS1608XR473K500ARB</t>
    <phoneticPr fontId="2" type="noConversion"/>
  </si>
  <si>
    <t>50V;0.047uF;K;1608mm;X7R,Crack강화;</t>
    <phoneticPr fontId="2" type="noConversion"/>
  </si>
  <si>
    <t>MQCAD028920</t>
    <phoneticPr fontId="2" type="noConversion"/>
  </si>
  <si>
    <t>C CRM SH18B473K500</t>
    <phoneticPr fontId="2" type="noConversion"/>
  </si>
  <si>
    <t>50V;47nF;K;1608;X7R;Crack강화</t>
    <phoneticPr fontId="2" type="noConversion"/>
  </si>
  <si>
    <t>WALSIN</t>
    <phoneticPr fontId="2" type="noConversion"/>
  </si>
  <si>
    <t>MQCAD028210</t>
    <phoneticPr fontId="2" type="noConversion"/>
  </si>
  <si>
    <t>C CRM CS0603KRX7R9BB473</t>
    <phoneticPr fontId="2" type="noConversion"/>
  </si>
  <si>
    <t>C-MLC;CS2012X7R224K500ARE</t>
    <phoneticPr fontId="2" type="noConversion"/>
  </si>
  <si>
    <t>50V;0.22uF;K;2012mm;X7R(Crack강화);</t>
    <phoneticPr fontId="2" type="noConversion"/>
  </si>
  <si>
    <t>MQCAD032520</t>
    <phoneticPr fontId="2" type="noConversion"/>
  </si>
  <si>
    <t>C-MLC;SH21B224K500</t>
    <phoneticPr fontId="2" type="noConversion"/>
  </si>
  <si>
    <t>50V;0.22uF;K;2012mm;X7R Crack강화;</t>
    <phoneticPr fontId="2" type="noConversion"/>
  </si>
  <si>
    <t>CP804H</t>
    <phoneticPr fontId="2" type="noConversion"/>
  </si>
  <si>
    <t>MQCAD036100</t>
  </si>
  <si>
    <t>C-MLC;CS0603KRX7R9BB331</t>
  </si>
  <si>
    <t>50V;0.00033uF;K;1608mm;X7R;</t>
  </si>
  <si>
    <t>CM820,CM821,CM840</t>
    <phoneticPr fontId="2" type="noConversion"/>
  </si>
  <si>
    <t>C-EL</t>
    <phoneticPr fontId="2" type="noConversion"/>
  </si>
  <si>
    <t>CP834,CP835</t>
    <phoneticPr fontId="2" type="noConversion"/>
  </si>
  <si>
    <t>C-FILM</t>
    <phoneticPr fontId="2" type="noConversion"/>
  </si>
  <si>
    <t>TERMINAL PIN]EYELET 00225</t>
    <phoneticPr fontId="2" type="noConversion"/>
  </si>
  <si>
    <t>MQAAG114870</t>
  </si>
  <si>
    <t>R-CHIP; CR-05FL7-510R</t>
  </si>
  <si>
    <t>C EL;HML 50V 47uF 8*7</t>
    <phoneticPr fontId="2" type="noConversion"/>
  </si>
  <si>
    <t>50V;47uF;±20%;-40~105℃;8*7mm;TP;In;5.0mm;</t>
  </si>
  <si>
    <t>삼영전자</t>
    <phoneticPr fontId="2" type="noConversion"/>
  </si>
  <si>
    <t>MQEAA103540</t>
  </si>
  <si>
    <t>CHIP BOND</t>
    <phoneticPr fontId="2" type="noConversion"/>
  </si>
  <si>
    <t>D-SCHOTTKY;BAS70-HAF</t>
    <phoneticPr fontId="2" type="noConversion"/>
  </si>
  <si>
    <t>70V;0.1A;SOT-23;TP;SMD;H3A;M1;</t>
  </si>
  <si>
    <t>MPBAE018110</t>
    <phoneticPr fontId="2" type="noConversion"/>
  </si>
  <si>
    <t>D-SCHOTTKY;BAS70</t>
    <phoneticPr fontId="2" type="noConversion"/>
  </si>
  <si>
    <t>70V;0.2A;SOT-23;TP;SMD;H3A;M1;</t>
    <phoneticPr fontId="2" type="noConversion"/>
  </si>
  <si>
    <t>MQAAG029530</t>
    <phoneticPr fontId="2" type="noConversion"/>
  </si>
  <si>
    <t>PANJIT</t>
    <phoneticPr fontId="2" type="noConversion"/>
  </si>
  <si>
    <t>DM801</t>
    <phoneticPr fontId="2" type="noConversion"/>
  </si>
  <si>
    <t>아비코</t>
  </si>
  <si>
    <t>MQAAI000150</t>
    <phoneticPr fontId="2" type="noConversion"/>
  </si>
  <si>
    <t>2W 47KΩ J AXIAL</t>
    <phoneticPr fontId="2" type="noConversion"/>
  </si>
  <si>
    <t>R MTL OX]MOR 2W 47KΩ J TB</t>
    <phoneticPr fontId="2" type="noConversion"/>
  </si>
  <si>
    <t>EL1018-VG</t>
    <phoneticPr fontId="4" type="noConversion"/>
  </si>
  <si>
    <t>C-FILM(PPF);BFMPP630V103K10BRSP(L-3.3)</t>
  </si>
  <si>
    <t>MDBAB000400</t>
    <phoneticPr fontId="2" type="noConversion"/>
  </si>
  <si>
    <t xml:space="preserve">Al 및 Al합금;DRAIN HOLDER_10PI(SLIM)_L65SA8(9)NA_CDY </t>
    <phoneticPr fontId="2" type="noConversion"/>
  </si>
  <si>
    <t xml:space="preserve">MDBAB000410 </t>
    <phoneticPr fontId="2" type="noConversion"/>
  </si>
  <si>
    <t>씨엔텍</t>
    <phoneticPr fontId="2" type="noConversion"/>
  </si>
  <si>
    <t>RM969,RM970</t>
    <phoneticPr fontId="2" type="noConversion"/>
  </si>
  <si>
    <t>부자재</t>
  </si>
  <si>
    <t>CP810,CP811</t>
    <phoneticPr fontId="2" type="noConversion"/>
  </si>
  <si>
    <t>RM810,RM842</t>
    <phoneticPr fontId="2" type="noConversion"/>
  </si>
  <si>
    <t>L75SA9NA_FDY</t>
    <phoneticPr fontId="2" type="noConversion"/>
  </si>
  <si>
    <t>MPJAZ010130</t>
    <phoneticPr fontId="53" type="noConversion"/>
  </si>
  <si>
    <t>IC-PWM CONTROLLER;FA6B24N</t>
    <phoneticPr fontId="53" type="noConversion"/>
  </si>
  <si>
    <t>SOP-16;-40~150℃;33V;830mW;H2;M3;</t>
    <phoneticPr fontId="53" type="noConversion"/>
  </si>
  <si>
    <t>FUJI</t>
    <phoneticPr fontId="4" type="noConversion"/>
  </si>
  <si>
    <t>MPJAY000030</t>
    <phoneticPr fontId="2" type="noConversion"/>
  </si>
  <si>
    <t>IC-LLC;FA6C13N</t>
    <phoneticPr fontId="2" type="noConversion"/>
  </si>
  <si>
    <t>SOP-16;-40~150℃;19V;830mW;H2;M3;</t>
  </si>
  <si>
    <t>LX802S,LX804S</t>
    <phoneticPr fontId="2" type="noConversion"/>
  </si>
  <si>
    <t>유원엔알티</t>
    <phoneticPr fontId="2" type="noConversion"/>
  </si>
  <si>
    <t>AL6063;4T;174.0*30.0*7.8mm;Extruding;White Anodizing;</t>
    <phoneticPr fontId="2" type="noConversion"/>
  </si>
  <si>
    <t>유원엔알티</t>
    <phoneticPr fontId="2" type="noConversion"/>
  </si>
  <si>
    <t>MBBAA041510</t>
    <phoneticPr fontId="2" type="noConversion"/>
  </si>
  <si>
    <t>HEAT SINK;HEAT SINK-1_L65SA8NA_BDY(1)</t>
    <phoneticPr fontId="2" type="noConversion"/>
  </si>
  <si>
    <t>AL6063;4T;174.0*30.0*7.8mm;Extruding;White Anodizing;</t>
    <phoneticPr fontId="2" type="noConversion"/>
  </si>
  <si>
    <t>MBBAA041490</t>
    <phoneticPr fontId="2" type="noConversion"/>
  </si>
  <si>
    <t>HEAT SINK;HEAT SINK-3_L65SA8NA_BDY</t>
    <phoneticPr fontId="2" type="noConversion"/>
  </si>
  <si>
    <t>AL6063;4T;60.0*30.0*7.8mm;Extruding;White Anodizing;</t>
    <phoneticPr fontId="2" type="noConversion"/>
  </si>
  <si>
    <t>유원엔알티</t>
    <phoneticPr fontId="2" type="noConversion"/>
  </si>
  <si>
    <t>MBBAA041480</t>
    <phoneticPr fontId="2" type="noConversion"/>
  </si>
  <si>
    <t>HEAT SINK;HEAT SINK-4_L65SA8NA_BDY</t>
    <phoneticPr fontId="2" type="noConversion"/>
  </si>
  <si>
    <t>AL6063;4T;120.0*40.0*7.8mm;Extruding;White Anodizing;</t>
    <phoneticPr fontId="2" type="noConversion"/>
  </si>
  <si>
    <t>HEAT SINK;HEAT SINK-5_L65SA8NA_BDY</t>
    <phoneticPr fontId="2" type="noConversion"/>
  </si>
  <si>
    <t>AL6063;4T;95.0*30.0*7.8mm;Extruding;White Anodizing;</t>
    <phoneticPr fontId="2" type="noConversion"/>
  </si>
  <si>
    <t>RL801S</t>
    <phoneticPr fontId="2" type="noConversion"/>
  </si>
  <si>
    <t>FOR RL801S</t>
    <phoneticPr fontId="2" type="noConversion"/>
  </si>
  <si>
    <t>QP810,QP812</t>
    <phoneticPr fontId="2" type="noConversion"/>
  </si>
  <si>
    <t>TR-SMALL SIGNAL;KTN2222AS;</t>
    <phoneticPr fontId="2" type="noConversion"/>
  </si>
  <si>
    <t>RM816,RM850,RM879</t>
    <phoneticPr fontId="2" type="noConversion"/>
  </si>
  <si>
    <t>QM807,QP811,QP813</t>
    <phoneticPr fontId="2" type="noConversion"/>
  </si>
  <si>
    <t>D-ZENER;MM1Z5239B-HAF</t>
    <phoneticPr fontId="2" type="noConversion"/>
  </si>
  <si>
    <t>9.1V;500mW;SOD-123;H2;M1;</t>
    <phoneticPr fontId="2" type="noConversion"/>
  </si>
  <si>
    <t>MPBAD027900</t>
    <phoneticPr fontId="2" type="noConversion"/>
  </si>
  <si>
    <t>D ZENER;LMSZ5239BT1H</t>
    <phoneticPr fontId="2" type="noConversion"/>
  </si>
  <si>
    <t>D-ZENER;MM3Z7V5-HAF</t>
    <phoneticPr fontId="2" type="noConversion"/>
  </si>
  <si>
    <t>CM812H,CM839H,CM864H,CP818H,CM914H</t>
    <phoneticPr fontId="2" type="noConversion"/>
  </si>
  <si>
    <t>CM819H,CM829H,CP803H,CP822H,CP824H,CP834H,CP835H</t>
    <phoneticPr fontId="2" type="noConversion"/>
  </si>
  <si>
    <t>CM931H,CM934H</t>
    <phoneticPr fontId="2" type="noConversion"/>
  </si>
  <si>
    <t>BEP801,BEM801,BEM802,BEP803,BBM804,BBM805</t>
    <phoneticPr fontId="2" type="noConversion"/>
  </si>
  <si>
    <t>DM805,DM916</t>
    <phoneticPr fontId="2" type="noConversion"/>
  </si>
  <si>
    <t>D-ZENER;MM1Z5242B-HAF</t>
  </si>
  <si>
    <t>12V;500mW;SOT-123;H2;M1;</t>
  </si>
  <si>
    <t>MPBAD026660</t>
    <phoneticPr fontId="2" type="noConversion"/>
  </si>
  <si>
    <t>D ZENER;LMSZ5242BT1H</t>
    <phoneticPr fontId="2" type="noConversion"/>
  </si>
  <si>
    <t>12V;500mW;SOT-123;H2;M1</t>
  </si>
  <si>
    <t>LRC</t>
  </si>
  <si>
    <t>ZDM808</t>
    <phoneticPr fontId="2" type="noConversion"/>
  </si>
  <si>
    <t>ZDM809</t>
    <phoneticPr fontId="2" type="noConversion"/>
  </si>
  <si>
    <t>D-ZENER;MM1Z5236B-HAF</t>
  </si>
  <si>
    <t>7.5V;500mW;SOD-123;H3B;M1;</t>
  </si>
  <si>
    <t>MPBAD000370</t>
  </si>
  <si>
    <t>D ZENER;LMSZ5236BT1H</t>
  </si>
  <si>
    <t>7.5V;500mW;SOD-123;H2;M1;</t>
  </si>
  <si>
    <t>QM803,QM809</t>
    <phoneticPr fontId="2" type="noConversion"/>
  </si>
  <si>
    <t>PCM801S,PCM802S,PCM803S,PCM804S,PCM901S,PCM902S</t>
    <phoneticPr fontId="2" type="noConversion"/>
  </si>
  <si>
    <t>DM807,DM812,DM817,DM922</t>
    <phoneticPr fontId="2" type="noConversion"/>
  </si>
  <si>
    <t>RP813,RP839,RM911</t>
    <phoneticPr fontId="2" type="noConversion"/>
  </si>
  <si>
    <t>RM910</t>
    <phoneticPr fontId="2" type="noConversion"/>
  </si>
  <si>
    <t>R-CHIP</t>
    <phoneticPr fontId="2" type="noConversion"/>
  </si>
  <si>
    <t>R CHIP]1608 680KΩ F</t>
  </si>
  <si>
    <t>1/10W 680KΩ F 1608</t>
  </si>
  <si>
    <t>MQAAG101480</t>
  </si>
  <si>
    <t>R-CHIP;RM06FTN6803</t>
  </si>
  <si>
    <t>680KΩ;1/10W;1%;1608;</t>
  </si>
  <si>
    <t>MQAAG105730</t>
  </si>
  <si>
    <t>R-CHIP;CR-03FL7-680K</t>
  </si>
  <si>
    <t>RM905</t>
    <phoneticPr fontId="2" type="noConversion"/>
  </si>
  <si>
    <t>R-CHIP;3216 750KΩ F</t>
    <phoneticPr fontId="2" type="noConversion"/>
  </si>
  <si>
    <t>MQAAG101440</t>
    <phoneticPr fontId="2" type="noConversion"/>
  </si>
  <si>
    <t>750KΩ;1/4W;1%;3216;</t>
    <phoneticPr fontId="2" type="noConversion"/>
  </si>
  <si>
    <t>MQAAG103760</t>
    <phoneticPr fontId="2" type="noConversion"/>
  </si>
  <si>
    <t>RM853,RM854</t>
    <phoneticPr fontId="2" type="noConversion"/>
  </si>
  <si>
    <t>R-CHIP;1608 51KΩ F</t>
  </si>
  <si>
    <t>51KΩ;1/10W;F;1608;</t>
  </si>
  <si>
    <t>MQAAG101000</t>
  </si>
  <si>
    <t>R-CHIP;RM06FTN5102</t>
  </si>
  <si>
    <t>51KΩ;1/10W;1%;1608;</t>
  </si>
  <si>
    <t>MQAAG090790</t>
    <phoneticPr fontId="2" type="noConversion"/>
  </si>
  <si>
    <t>R-CHIPCR-03FL7-51K</t>
  </si>
  <si>
    <t>51KΩ;1/10W;1%;1608</t>
  </si>
  <si>
    <t>RM896</t>
    <phoneticPr fontId="2" type="noConversion"/>
  </si>
  <si>
    <t>R-CHIP;1608 470KΩ F</t>
    <phoneticPr fontId="2" type="noConversion"/>
  </si>
  <si>
    <t>R CHIP]1608 510KΩ F</t>
  </si>
  <si>
    <t>1/10W 510KΩ F 1608</t>
  </si>
  <si>
    <t>R-CHIP;RM06FTN4703</t>
    <phoneticPr fontId="2" type="noConversion"/>
  </si>
  <si>
    <t>MQAAG102650</t>
  </si>
  <si>
    <t>R-CHIP;RM06FTN5103</t>
  </si>
  <si>
    <t>510KΩ;1/10W;1%;1608;</t>
  </si>
  <si>
    <t>R CHIP]CR-03 FL7 470K</t>
    <phoneticPr fontId="2" type="noConversion"/>
  </si>
  <si>
    <t>MQAAG089010</t>
  </si>
  <si>
    <t>R CHIP]CR-03FL7-510K</t>
  </si>
  <si>
    <t>RM840,RM841,RS846,RS849</t>
    <phoneticPr fontId="2" type="noConversion"/>
  </si>
  <si>
    <t>CS853H,CM837H</t>
    <phoneticPr fontId="2" type="noConversion"/>
  </si>
  <si>
    <t>CM830H,CM908H,CM929H</t>
    <phoneticPr fontId="2" type="noConversion"/>
  </si>
  <si>
    <t>FET;MMSF60R360QTH</t>
    <phoneticPr fontId="2" type="noConversion"/>
  </si>
  <si>
    <t>NPN;600V;11A;30000mW;TO-220SF;H1C;M1;</t>
  </si>
  <si>
    <t>MPCAE015510</t>
  </si>
  <si>
    <t>FET;FH13N60K</t>
  </si>
  <si>
    <t>NPN;600V;11A;25000mW;TO-220FP;H2;N/A;</t>
  </si>
  <si>
    <t>FET;MMSF60R360QTH</t>
    <phoneticPr fontId="2" type="noConversion"/>
  </si>
  <si>
    <t>D SCHOTTKY MBRF20150CTL</t>
    <phoneticPr fontId="2" type="noConversion"/>
  </si>
  <si>
    <t>150V 20A TO-220F</t>
    <phoneticPr fontId="2" type="noConversion"/>
  </si>
  <si>
    <t>CM810,CM816,CM918,CM919</t>
    <phoneticPr fontId="2" type="noConversion"/>
  </si>
  <si>
    <t>C-CERAMIC(DISK);HGR3DR471KF2AW</t>
  </si>
  <si>
    <t>2KV;0.00047uF;±10%;TP;Out;5mm;-25~+125℃;</t>
  </si>
  <si>
    <t>C-CERAMIC(DISK);CT81-2KV-06h-2R-331K 50T</t>
    <phoneticPr fontId="2" type="noConversion"/>
  </si>
  <si>
    <t>MQCAA028640</t>
  </si>
  <si>
    <t>C-CERAMIC(DISK);CT81-2KV-08h-2R-471K 50T</t>
  </si>
  <si>
    <t>2KV;0.00047uF;10%;TP;ST;5mm;-25~+125℃;</t>
  </si>
  <si>
    <t>CM817,CM818</t>
    <phoneticPr fontId="2" type="noConversion"/>
  </si>
  <si>
    <t>RM909</t>
    <phoneticPr fontId="2" type="noConversion"/>
  </si>
  <si>
    <t>R CHIP]1608 390KΩ F</t>
  </si>
  <si>
    <t>1/10W 390KΩ F 1608</t>
  </si>
  <si>
    <t>R-CHIP;RM06FTN3903</t>
  </si>
  <si>
    <t>390KΩ;1/10W;1%;1608;</t>
  </si>
  <si>
    <t>MQAAG091810</t>
  </si>
  <si>
    <t>R-CHIPCR-03FL7-390K</t>
  </si>
  <si>
    <t>1608;390KΩ;1/10W;1%</t>
  </si>
  <si>
    <t>CM901H</t>
    <phoneticPr fontId="2" type="noConversion"/>
  </si>
  <si>
    <t>CM811,CM905</t>
    <phoneticPr fontId="2" type="noConversion"/>
  </si>
  <si>
    <t>RP806</t>
    <phoneticPr fontId="2" type="noConversion"/>
  </si>
  <si>
    <t>RM918,RM922</t>
    <phoneticPr fontId="2" type="noConversion"/>
  </si>
  <si>
    <t>R-CHIP;3216 27KΩ F</t>
  </si>
  <si>
    <t>27KΩ;1/4W;F;3216;</t>
  </si>
  <si>
    <t>MQAAG100160</t>
  </si>
  <si>
    <t>R-CHIP;RM12FTN2702</t>
  </si>
  <si>
    <t>27KΩ;1/4W;1%;3216;</t>
  </si>
  <si>
    <t>MQAAG110810</t>
  </si>
  <si>
    <t>R-CHIP;CR-06FL7-27K</t>
  </si>
  <si>
    <t>RM942</t>
    <phoneticPr fontId="2" type="noConversion"/>
  </si>
  <si>
    <t>RM998</t>
    <phoneticPr fontId="2" type="noConversion"/>
  </si>
  <si>
    <t>R-CHIP;3216 20KΩF</t>
    <phoneticPr fontId="4" type="noConversion"/>
  </si>
  <si>
    <t>R-CHIP;CR-06FL7-20K</t>
    <phoneticPr fontId="2" type="noConversion"/>
  </si>
  <si>
    <t>RM824,RM930</t>
    <phoneticPr fontId="2" type="noConversion"/>
  </si>
  <si>
    <t>DM803,DM804,DM816,DM819,DM820,DM821,DM822,DM823,DM824,DM901,DM914,DM915,DM920,DP807,DP808</t>
    <phoneticPr fontId="2" type="noConversion"/>
  </si>
  <si>
    <t>RM921</t>
    <phoneticPr fontId="2" type="noConversion"/>
  </si>
  <si>
    <t>R-CHIP</t>
    <phoneticPr fontId="2" type="noConversion"/>
  </si>
  <si>
    <t>R-CHIP;1608 1KΩ F</t>
  </si>
  <si>
    <t>1KΩ;1/10W;F;1608;</t>
  </si>
  <si>
    <t>MQAAG100920</t>
  </si>
  <si>
    <t>R-CHIP;RM06FTN1001</t>
  </si>
  <si>
    <t>1KΩ;1/10W;1%;1608;</t>
  </si>
  <si>
    <t>MQAAG090190</t>
  </si>
  <si>
    <t>R CHIP]CR-03FL7-1K</t>
  </si>
  <si>
    <t>1KΩ;1/10W;1%(F);1608;</t>
  </si>
  <si>
    <t>RM913</t>
    <phoneticPr fontId="2" type="noConversion"/>
  </si>
  <si>
    <t>R-CHIP</t>
    <phoneticPr fontId="2" type="noConversion"/>
  </si>
  <si>
    <t>R-CHIP;1608 160KΩ F</t>
  </si>
  <si>
    <t>1/10W;160KΩ;F;1608</t>
  </si>
  <si>
    <t>MQAAG101410</t>
  </si>
  <si>
    <t>R-CHIP;RM06FTN1603</t>
  </si>
  <si>
    <t>160KΩ;1/10W;1%;1608;</t>
  </si>
  <si>
    <t>MQAAG092210</t>
  </si>
  <si>
    <t>R-CHIP;CR-03FL7-160K</t>
  </si>
  <si>
    <t>RM908</t>
    <phoneticPr fontId="2" type="noConversion"/>
  </si>
  <si>
    <t>RP819,RP854</t>
    <phoneticPr fontId="2" type="noConversion"/>
  </si>
  <si>
    <t>RM812,RM923</t>
    <phoneticPr fontId="2" type="noConversion"/>
  </si>
  <si>
    <t>RM934,RM936</t>
    <phoneticPr fontId="2" type="noConversion"/>
  </si>
  <si>
    <t>RM815,RM892,RS847,RS848</t>
    <phoneticPr fontId="2" type="noConversion"/>
  </si>
  <si>
    <t>CM999H</t>
    <phoneticPr fontId="2" type="noConversion"/>
  </si>
  <si>
    <t>C-MLC;CS1608COG100J500ARB</t>
  </si>
  <si>
    <t>50V;0.00001uF;J;1608mm;COG Crack 강화;</t>
  </si>
  <si>
    <t>MQCAD032560</t>
  </si>
  <si>
    <t>C-MLC;SH18N100J500</t>
  </si>
  <si>
    <t>50V;0.00001uF;J;1608mm;COG Crack강화;</t>
  </si>
  <si>
    <t>MQCAD032580</t>
  </si>
  <si>
    <t>C-MLC;CS0603JRNPO9BB100</t>
  </si>
  <si>
    <t>R-CHIP;1608 1.2KΩ F</t>
  </si>
  <si>
    <t>1.2KΩ;1/10W;F;1608;</t>
  </si>
  <si>
    <t>MQAAG101270</t>
  </si>
  <si>
    <t>R-CHIP;RM06FTN1201</t>
  </si>
  <si>
    <t>1.2KΩ;1/10W;1%;1608;</t>
  </si>
  <si>
    <t>MQAAG103390</t>
  </si>
  <si>
    <t>R-CHIP;CR-03FL7-1K2</t>
  </si>
  <si>
    <t>유방화붕전기(HUAPENG)</t>
  </si>
  <si>
    <t>LUG TERMINAL PIN</t>
    <phoneticPr fontId="2" type="noConversion"/>
  </si>
  <si>
    <t>대린전자</t>
    <phoneticPr fontId="2" type="noConversion"/>
  </si>
  <si>
    <t>엘티소재</t>
  </si>
  <si>
    <t>RM987</t>
    <phoneticPr fontId="2" type="noConversion"/>
  </si>
  <si>
    <t>스마트전자</t>
    <phoneticPr fontId="2" type="noConversion"/>
  </si>
  <si>
    <t>아비코</t>
    <phoneticPr fontId="2" type="noConversion"/>
  </si>
  <si>
    <t>트래닛</t>
    <phoneticPr fontId="2" type="noConversion"/>
  </si>
  <si>
    <t>DM806,DM809</t>
    <phoneticPr fontId="2" type="noConversion"/>
  </si>
  <si>
    <t>RM872</t>
    <phoneticPr fontId="2" type="noConversion"/>
  </si>
  <si>
    <t>RP823,RM906,RM907</t>
    <phoneticPr fontId="2" type="noConversion"/>
  </si>
  <si>
    <t>MPBAC005850</t>
  </si>
  <si>
    <t>MPBAA006070</t>
  </si>
  <si>
    <t>MPBAA005010</t>
  </si>
  <si>
    <t>D-BRIDGE;GBJ1506-N</t>
  </si>
  <si>
    <t>D-SWITCHING;BAW56</t>
  </si>
  <si>
    <t>80V;250mA;SOT-23;BK;SMD;H3A;M1;</t>
  </si>
  <si>
    <t>D SWITCHING LMBD2838LT1H</t>
  </si>
  <si>
    <t>75V;150mA;SOT-23</t>
  </si>
  <si>
    <t>MPBAE017630</t>
    <phoneticPr fontId="2" type="noConversion"/>
  </si>
  <si>
    <t>D-SCHOTTKY;MBRF20U150CTA</t>
    <phoneticPr fontId="2" type="noConversion"/>
  </si>
  <si>
    <t>150V;20A;TO-220IS;BK;ST;2.54mm;H3A;M1;</t>
    <phoneticPr fontId="2" type="noConversion"/>
  </si>
  <si>
    <t>KEC</t>
    <phoneticPr fontId="2" type="noConversion"/>
  </si>
  <si>
    <t>RM817</t>
    <phoneticPr fontId="2" type="noConversion"/>
  </si>
  <si>
    <t>1/4W 15Ω F 3216</t>
    <phoneticPr fontId="2" type="noConversion"/>
  </si>
  <si>
    <t>R-CHIP;CR-06FL7-47R</t>
    <phoneticPr fontId="2" type="noConversion"/>
  </si>
  <si>
    <t>MQAAG111840</t>
    <phoneticPr fontId="2" type="noConversion"/>
  </si>
  <si>
    <t>R-CHIP;CR-06FL7-36R</t>
    <phoneticPr fontId="2" type="noConversion"/>
  </si>
  <si>
    <t>0.036KΩ;1/4W;1%;3216;</t>
    <phoneticPr fontId="2" type="noConversion"/>
  </si>
  <si>
    <t>R-CHIP;RM12FTN15R0</t>
    <phoneticPr fontId="2" type="noConversion"/>
  </si>
  <si>
    <t>MQAAG111820</t>
    <phoneticPr fontId="2" type="noConversion"/>
  </si>
  <si>
    <t>R-CHIP;RM12FTN36R0</t>
    <phoneticPr fontId="2" type="noConversion"/>
  </si>
  <si>
    <t>0.036KΩ;1/4W;1%;3216;</t>
    <phoneticPr fontId="2" type="noConversion"/>
  </si>
  <si>
    <t>R CHIP]3216 15Ω F</t>
    <phoneticPr fontId="2" type="noConversion"/>
  </si>
  <si>
    <t>R-CHIP3216 36Ω F</t>
    <phoneticPr fontId="53" type="noConversion"/>
  </si>
  <si>
    <t>36Ω;1/4W;1%;3216;</t>
    <phoneticPr fontId="53" type="noConversion"/>
  </si>
  <si>
    <t>YAGEO</t>
    <phoneticPr fontId="4" type="noConversion"/>
  </si>
  <si>
    <t>MQCAA029250</t>
    <phoneticPr fontId="4" type="noConversion"/>
  </si>
  <si>
    <t>C-CERAMIC(DISK);HGR3DR151KF2AW-H8t12 (1.</t>
    <phoneticPr fontId="4" type="noConversion"/>
  </si>
  <si>
    <t>2KV;0.00015uF;±10%;TP;Out;5mm;-25~+125℃;</t>
    <phoneticPr fontId="4" type="noConversion"/>
  </si>
  <si>
    <t>MQCAA029340</t>
    <phoneticPr fontId="2" type="noConversion"/>
  </si>
  <si>
    <t>C-CERAMIC(DISK;DCH151K26YR P6FH5J3 (1.2T</t>
    <phoneticPr fontId="2" type="noConversion"/>
  </si>
  <si>
    <t>2000V;0.00015uF;±10% ;TP;Out;5mm;-25~125℃ ;</t>
    <phoneticPr fontId="2" type="noConversion"/>
  </si>
  <si>
    <t>HONGMING</t>
    <phoneticPr fontId="2" type="noConversion"/>
  </si>
  <si>
    <t>C-CERAMIC(DISK);HGR3DR331KF2AW-H8t12 (1.</t>
    <phoneticPr fontId="4" type="noConversion"/>
  </si>
  <si>
    <t>2KV;0.00033uF;±10%;TP;Out;5mm;-25~+125℃;</t>
    <phoneticPr fontId="4" type="noConversion"/>
  </si>
  <si>
    <t>MQCAA029350</t>
    <phoneticPr fontId="2" type="noConversion"/>
  </si>
  <si>
    <t>C-CERAMIC(DISK);DCH331K30YR P6FH5C8 (1.2</t>
    <phoneticPr fontId="2" type="noConversion"/>
  </si>
  <si>
    <t>2000V;0.00033uF;±10% ;TP;Out;5mm;-25~125℃ ;</t>
    <phoneticPr fontId="2" type="noConversion"/>
  </si>
  <si>
    <t>L75SA9NA_FDY</t>
    <phoneticPr fontId="2" type="noConversion"/>
  </si>
  <si>
    <t>FSMDPVD0748 B/Q/M</t>
    <phoneticPr fontId="2" type="noConversion"/>
  </si>
  <si>
    <t>RM855</t>
    <phoneticPr fontId="2" type="noConversion"/>
  </si>
  <si>
    <t>CM805H,CM823H,CM824H,CM865H,CM866H,CM904H,CM907H,CM909H,CM911H,CM917H</t>
    <phoneticPr fontId="2" type="noConversion"/>
  </si>
  <si>
    <t>1/4W 51KΩ F 3216</t>
    <phoneticPr fontId="2" type="noConversion"/>
  </si>
  <si>
    <t>RP818,RP849</t>
    <phoneticPr fontId="2" type="noConversion"/>
  </si>
  <si>
    <t>RM818</t>
    <phoneticPr fontId="2" type="noConversion"/>
  </si>
  <si>
    <t>0.027KΩ;1/4W;1%;3216;</t>
    <phoneticPr fontId="2" type="noConversion"/>
  </si>
  <si>
    <t>1/4W 27Ω F 3216</t>
    <phoneticPr fontId="2" type="noConversion"/>
  </si>
  <si>
    <t>R CHIP]3216 27Ω F</t>
    <phoneticPr fontId="2" type="noConversion"/>
  </si>
  <si>
    <t>R-CHIP;RM12FTN27R0</t>
    <phoneticPr fontId="2" type="noConversion"/>
  </si>
  <si>
    <t>MQAAG105620</t>
    <phoneticPr fontId="2" type="noConversion"/>
  </si>
  <si>
    <t>0.027KΩ;1/4W;1%;3216;</t>
    <phoneticPr fontId="2" type="noConversion"/>
  </si>
  <si>
    <t>R-CHIP;CR-06FL7-27R</t>
    <phoneticPr fontId="2" type="noConversion"/>
  </si>
  <si>
    <t>MQAAG105610</t>
    <phoneticPr fontId="2" type="noConversion"/>
  </si>
  <si>
    <t>RM813</t>
    <phoneticPr fontId="2" type="noConversion"/>
  </si>
  <si>
    <t>RM868</t>
    <phoneticPr fontId="2" type="noConversion"/>
  </si>
  <si>
    <t>YAGEO</t>
    <phoneticPr fontId="2" type="noConversion"/>
  </si>
  <si>
    <t>2.4KΩ;1/4W;F;3216;</t>
    <phoneticPr fontId="2" type="noConversion"/>
  </si>
  <si>
    <t>R-CHIP;3216 3.3KΩ F</t>
    <phoneticPr fontId="2" type="noConversion"/>
  </si>
  <si>
    <t>3.3KΩ;1/4W;F;3216;</t>
    <phoneticPr fontId="2" type="noConversion"/>
  </si>
  <si>
    <t>2.4KΩ;1/4W;1%;3216;</t>
    <phoneticPr fontId="2" type="noConversion"/>
  </si>
  <si>
    <t>MQAAG100940</t>
    <phoneticPr fontId="2" type="noConversion"/>
  </si>
  <si>
    <t>R-CHIP;RM12FTN3301</t>
    <phoneticPr fontId="2" type="noConversion"/>
  </si>
  <si>
    <t>3.3KΩ;1/4W;1%;3216;</t>
    <phoneticPr fontId="2" type="noConversion"/>
  </si>
  <si>
    <t xml:space="preserve"> R-CHIP;CR-06FL7-3K3</t>
    <phoneticPr fontId="2" type="noConversion"/>
  </si>
  <si>
    <t xml:space="preserve"> MQAAG106100</t>
    <phoneticPr fontId="2" type="noConversion"/>
  </si>
  <si>
    <t>RM940</t>
    <phoneticPr fontId="2" type="noConversion"/>
  </si>
  <si>
    <t>RP805,RP824</t>
    <phoneticPr fontId="2" type="noConversion"/>
  </si>
  <si>
    <t>EYELET SUPPORT_Ø2.0(C2680)</t>
  </si>
  <si>
    <t>C2680;0.20T;Ø4.4*5.5mm;Sn;</t>
  </si>
  <si>
    <t>MDAAF001400</t>
  </si>
  <si>
    <t>1000V;0.033uF;J;BK;18*14*7mm;ㄱ;-40~105℃;15mm;</t>
    <phoneticPr fontId="2" type="noConversion"/>
  </si>
  <si>
    <t>RELAY-POWER;HF36FD/012-HLT</t>
    <phoneticPr fontId="2" type="noConversion"/>
  </si>
  <si>
    <t>HONGFA</t>
  </si>
  <si>
    <t>MQEAA109470</t>
    <phoneticPr fontId="2" type="noConversion"/>
  </si>
  <si>
    <t>MQAAG102041</t>
    <phoneticPr fontId="2" type="noConversion"/>
  </si>
  <si>
    <t>MFAAB000940</t>
    <phoneticPr fontId="2" type="noConversion"/>
  </si>
  <si>
    <t>CY805S,CP801S,CP802S,RL801S,CP834,CP835,CM801CS,CX802S,CX801S,CM855,CM852,CM853,CM854,CM910CS,CM927,CM926,CM924,CM925,CM821,CM820,CM840,NT801S,VX801S,RP801,RP857</t>
    <phoneticPr fontId="2" type="noConversion"/>
  </si>
  <si>
    <t>ICM804,ICQ851,ICQ852,ICM901</t>
    <phoneticPr fontId="2" type="noConversion"/>
  </si>
  <si>
    <t>TM801CS</t>
    <phoneticPr fontId="2" type="noConversion"/>
  </si>
  <si>
    <t>BD801S,BD803S</t>
    <phoneticPr fontId="2" type="noConversion"/>
  </si>
  <si>
    <t>DP804C</t>
    <phoneticPr fontId="2" type="noConversion"/>
  </si>
  <si>
    <t>QM906CS,QM907CS</t>
    <phoneticPr fontId="2" type="noConversion"/>
  </si>
  <si>
    <t>CM833</t>
    <phoneticPr fontId="2" type="noConversion"/>
  </si>
  <si>
    <t>CM813,CM827,CM858,CM913,CM928,CM935,CP823</t>
    <phoneticPr fontId="2" type="noConversion"/>
  </si>
  <si>
    <t>DM858C,DM859C,DM860C</t>
    <phoneticPr fontId="2" type="noConversion"/>
  </si>
  <si>
    <t>DM812C</t>
    <phoneticPr fontId="2" type="noConversion"/>
  </si>
  <si>
    <t>DM911C,DM912C,DM913C,DM914C</t>
    <phoneticPr fontId="2" type="noConversion"/>
  </si>
  <si>
    <t>ICP801S,ICM901S,ICM801S,ICM851,ICM903ICM804,ICQ851,ICQ852,ICM901,QM806,QM808,QP809,QM810,QS816,QS817,QM854,QM906,QM908,QM910,QM801CS,QM802CS,QM812,QM803,QM809,QM901,QP810,QP812,QM807,QP811,QP813,DM801S,DM802S,DM807S,DM808S,DM806,DM809,DM801,DP801,DP802,DM807,DM812,DM817,DM922,DP815,DM803,DM804,DM816,DM819,DM820,DM821,DM822,DM823,DM824,DM901,DM914,DM915,DM920,DP807,DP808,ZDM802,ZDM803,ZDM809,ZDM801,ZDM805,ZDM806,ZDM807,ZDM808,BEP801,BEM801,BEM802,BEP803,BBM804,BBM805,CY803S,CY804S,CS852H,CM819H,CM829H,CP803H,CP822H,CP824H,CP834H,CP835H,CS853H,CM837H,CM859H,CM999H,CM930H,CQ853H,CQ855H,CM805H,CM823H,CM824H,CM865H,CM866H,CM904H,CM907H,CM909H,CM911H,CM917H,CP805H,CP809H,CP819H,CP829H,CM862H,CM863H,CM905H,CM906H,CM910H,CM812H,CM839H,CM864H,CP818H,CM914H,CM807H,CQ852H,CQ854H,CM809H,CM814H,CM803H,CM806H,CM815H,CM834H,CP807H,CP812H,CP813H,CP814H,CP826H,CM931H,CM934H,CM835H,CM901H,CP808H,CP821H,CM804H,CM830H,CM908H,CM929H,CM808H,CM828H,CM902H,CM903H,CM912H,CM913H,CP820H,CP825HCP804H,JP1,JP2,JP6,JP7,JP8,JP9,JP10,JP11,JP12,JPM802,JPM901,JPM903,JPM904,JPM905,JPP801,RM937,RM876,RM998,RQ851,RM921,RM908,RM816,RM850,RM879,RM823,RM881,RM866,RM806,RM809,RM826,RM844,RM857,RM867,RM894,RM915,RM919,RM939,RM941,RM995,RP817,RP843,RP822,RM855,RP845,RM858,RM860,RM897,RP806,RP833,RM810,RM842,RM811,RM843,RM840,RM841,RS846,RS849,RM853,RM854,RP805,RP824,RM815,RM892,RS847,RS848,RM997,RM913,RM861,RM882RM839,RP807,RM909,RM856,RM893,RM993,RM896,RM910,RM877,RM874,RM875,RM933,JP3,JP4,JP5,JPM902,RM824,RM930,RP816,RP844,RP819,RP854,RP818,RP849,RM818,RM817,RM804,RM805,RM807,RM808,RM928,RM929,RM931,RM932,RM934,RM936,RP820,RP847,RM812,RM923,RP803,RM813,RM872,RM905,RM918,RM922,RM888,RM822,RM827,RM863,RQ856,RM944,RM836,RM859,RM895,RM986,RM945,RM801,RM802,RM803,RM825,RM862,RM940,RP821,RM868,RM887,RM890,RM891,RQ855,RP840,RM889,RM968,RM871,RM987,RM814,RM924,RM975,RP815,RP842,RM864,RM865,RM969,RM970,RM942,RM847,RM848,RQ854,RP814,RQ857,RQ858,RM967,RM966,RP813,RP839,RM911,RP831,RP823,RM906,RM907,RP809,RP810,RP811,RP812,RP826,RP827,RP828,RP829,RP834,RP835,RP836,RP837,RM901,RM902,RM903,RM904,PT801,PCM801S,PCM802S,PCM803S,PCM804S,PCM901S,PCM902S,ICM851,ICM903,ICM804,ICQ851,ICQ852,ICM901,TM801CS,TM901CS,BD801S,BD803S,DP804C,QP801CS,QP803CS.QM906CS,QM907CS,CM833,CM813,CM827,CM858,CM913,CM928,CM935,CP823,LP801CS,LP802CS,QM811,DM858C,DM859C,DM860C,DM812C,DM911C,DM912C,DM913C,DM914C</t>
    <phoneticPr fontId="2" type="noConversion"/>
  </si>
  <si>
    <t>QM806,QM808,QP809,QM810,QS816,QS817,QM854,QM906,QM908,QM858</t>
    <phoneticPr fontId="2" type="noConversion"/>
  </si>
  <si>
    <t>CP805H,CP809H,CP819H,CP829H,CM873H,CM863H,CM905H,CM906H,CM910H</t>
    <phoneticPr fontId="2" type="noConversion"/>
  </si>
  <si>
    <t>RM856,RM870,RM993</t>
    <phoneticPr fontId="2" type="noConversion"/>
  </si>
  <si>
    <t>LX801S</t>
    <phoneticPr fontId="2" type="noConversion"/>
  </si>
  <si>
    <t>C-CERAMIC(DISK);HJB331KH5B3.2W-H8.7</t>
    <phoneticPr fontId="2" type="noConversion"/>
  </si>
  <si>
    <t>WANMING</t>
    <phoneticPr fontId="48" type="noConversion"/>
  </si>
  <si>
    <t>TRANS-MULTI;EE4211</t>
    <phoneticPr fontId="2" type="noConversion"/>
  </si>
  <si>
    <t>MQGAH040830</t>
    <phoneticPr fontId="2" type="noConversion"/>
  </si>
  <si>
    <t>MQGAH040840</t>
    <phoneticPr fontId="2" type="noConversion"/>
  </si>
  <si>
    <t>TRANS-DRV;EE4211</t>
    <phoneticPr fontId="2" type="noConversion"/>
  </si>
  <si>
    <t>EE4211;550uH;26Ts;12pin;Vertical;</t>
    <phoneticPr fontId="2" type="noConversion"/>
  </si>
  <si>
    <t>MQHAD017780</t>
    <phoneticPr fontId="2" type="noConversion"/>
  </si>
  <si>
    <t xml:space="preserve"> COIL-PFC;MPM484212</t>
    <phoneticPr fontId="2" type="noConversion"/>
  </si>
  <si>
    <t>MST</t>
    <phoneticPr fontId="2" type="noConversion"/>
  </si>
  <si>
    <t>LINEFILTER-COMMON;T-10Ø(TS05005,TO05005)</t>
    <phoneticPr fontId="2" type="noConversion"/>
  </si>
  <si>
    <t>LINEFILTER-COMMON;T-10Ø(TS05005,TO05005)</t>
    <phoneticPr fontId="2" type="noConversion"/>
  </si>
  <si>
    <t>T-10Ø;100uH;5Ts;4pin;Horizental;</t>
    <phoneticPr fontId="2" type="noConversion"/>
  </si>
  <si>
    <t>T-10Ø;100uH;5Ts;4pin;Horizental;</t>
    <phoneticPr fontId="2" type="noConversion"/>
  </si>
  <si>
    <t>수방전자</t>
    <phoneticPr fontId="2" type="noConversion"/>
  </si>
  <si>
    <t>MRBAM027781</t>
    <phoneticPr fontId="2" type="noConversion"/>
  </si>
  <si>
    <t>MRBAM028370</t>
    <phoneticPr fontId="2" type="noConversion"/>
  </si>
  <si>
    <t>MRBAM028370</t>
    <phoneticPr fontId="2" type="noConversion"/>
  </si>
  <si>
    <t>LINEFILTER-NORMAL;FT-31*20*3.2(TS08544;MH08544)</t>
    <phoneticPr fontId="2" type="noConversion"/>
  </si>
  <si>
    <t>LINEFILTER-NORMAL;FT-31*20*3.2(TS08544;MH08544)</t>
    <phoneticPr fontId="2" type="noConversion"/>
  </si>
  <si>
    <t>명호전자</t>
    <phoneticPr fontId="2" type="noConversion"/>
  </si>
  <si>
    <t>수방전자</t>
    <phoneticPr fontId="2" type="noConversion"/>
  </si>
  <si>
    <t>볼더전자</t>
    <phoneticPr fontId="2" type="noConversion"/>
  </si>
  <si>
    <t>수삽</t>
    <phoneticPr fontId="2" type="noConversion"/>
  </si>
  <si>
    <t>RM804,RM805,RM807,RM808</t>
    <phoneticPr fontId="2" type="noConversion"/>
  </si>
  <si>
    <t>RM966</t>
    <phoneticPr fontId="2" type="noConversion"/>
  </si>
  <si>
    <t>R CHIP]3216 22KΩ F</t>
    <phoneticPr fontId="2" type="noConversion"/>
  </si>
  <si>
    <t>1/4W 22KΩ F 3216</t>
    <phoneticPr fontId="2" type="noConversion"/>
  </si>
  <si>
    <t xml:space="preserve"> MQAAG099500</t>
    <phoneticPr fontId="2" type="noConversion"/>
  </si>
  <si>
    <t>R-CHIP;RM12FTN2202</t>
    <phoneticPr fontId="2" type="noConversion"/>
  </si>
  <si>
    <t>22KΩ;1/4W;1%;3216;</t>
    <phoneticPr fontId="2" type="noConversion"/>
  </si>
  <si>
    <t xml:space="preserve"> MQAAG103600</t>
    <phoneticPr fontId="2" type="noConversion"/>
  </si>
  <si>
    <t>R-CHIP;CR-06FL7-22K</t>
    <phoneticPr fontId="2" type="noConversion"/>
  </si>
  <si>
    <t>22KΩ;1/4W;1%;3216;</t>
    <phoneticPr fontId="2" type="noConversion"/>
  </si>
  <si>
    <t>RP815,RP842,RM864,RM865,RM967</t>
    <phoneticPr fontId="2" type="noConversion"/>
  </si>
  <si>
    <t>RM889</t>
    <phoneticPr fontId="2" type="noConversion"/>
  </si>
  <si>
    <t>RM968</t>
    <phoneticPr fontId="2" type="noConversion"/>
  </si>
  <si>
    <t>R-CHIP;RC1206FR-07 11K L</t>
    <phoneticPr fontId="4" type="noConversion"/>
  </si>
  <si>
    <t>11;1/4;1;3216</t>
    <phoneticPr fontId="4" type="noConversion"/>
  </si>
  <si>
    <t>YAGEO</t>
    <phoneticPr fontId="2" type="noConversion"/>
  </si>
  <si>
    <t>MQAAG101880</t>
    <phoneticPr fontId="2" type="noConversion"/>
  </si>
  <si>
    <t>R-CHIP;RM12FTN1102</t>
    <phoneticPr fontId="4" type="noConversion"/>
  </si>
  <si>
    <t>11KΩ;1/4W;1%;3216;</t>
    <phoneticPr fontId="4" type="noConversion"/>
  </si>
  <si>
    <t xml:space="preserve"> MQAAG103160</t>
    <phoneticPr fontId="2" type="noConversion"/>
  </si>
  <si>
    <t>R-CHIP;CR-06FL7-11K</t>
    <phoneticPr fontId="2" type="noConversion"/>
  </si>
  <si>
    <t>11KΩ;1/4W;1%;3216;</t>
    <phoneticPr fontId="2" type="noConversion"/>
  </si>
  <si>
    <t>RM822,RM827,RM863,RQ856</t>
    <phoneticPr fontId="2" type="noConversion"/>
  </si>
  <si>
    <t>RM888,RM945,RM944</t>
    <phoneticPr fontId="2" type="noConversion"/>
  </si>
  <si>
    <t>RM801,RM802,RM803,RM825</t>
    <phoneticPr fontId="2" type="noConversion"/>
  </si>
  <si>
    <t>RM836,RM859,RM894,RM986,RM862</t>
    <phoneticPr fontId="2" type="noConversion"/>
  </si>
  <si>
    <t>CM801CS,CM910CS</t>
    <phoneticPr fontId="2" type="noConversion"/>
  </si>
  <si>
    <t>C2680;0.20T;Ø4.4*5.5mm;Sn;</t>
    <phoneticPr fontId="2" type="noConversion"/>
  </si>
  <si>
    <t>0.01KΩ;1/10W;1%;1608;</t>
    <phoneticPr fontId="2" type="noConversion"/>
  </si>
  <si>
    <t>0.12Ω;5W;J;BK;15*18mm;ㄱ;10mm;</t>
    <phoneticPr fontId="2" type="noConversion"/>
  </si>
  <si>
    <t>0.012Ω;5W;J;BK;15*18mm;ㄱ;10mm;</t>
    <phoneticPr fontId="2" type="noConversion"/>
  </si>
  <si>
    <t>MQAAF005160</t>
    <phoneticPr fontId="2" type="noConversion"/>
  </si>
  <si>
    <t>MQAAG091680</t>
    <phoneticPr fontId="2" type="noConversion"/>
  </si>
  <si>
    <t>RQ855,RM924,RM933,RM975</t>
    <phoneticPr fontId="2" type="noConversion"/>
  </si>
  <si>
    <t>PALLET</t>
    <phoneticPr fontId="2" type="noConversion"/>
  </si>
  <si>
    <t>MGBAC002820</t>
    <phoneticPr fontId="2" type="noConversion"/>
  </si>
  <si>
    <t>기타종이류;PALLET WOOD_M</t>
    <phoneticPr fontId="2" type="noConversion"/>
  </si>
  <si>
    <t>나무;1100*1100*140mm;훈증;</t>
    <phoneticPr fontId="53" type="noConversion"/>
  </si>
  <si>
    <t>CTY TNHH MTV PHU AN GIA</t>
    <phoneticPr fontId="2" type="noConversion"/>
  </si>
  <si>
    <t>부자재</t>
    <phoneticPr fontId="2" type="noConversion"/>
  </si>
  <si>
    <t>기타종이류;PALLET WOOD_Q</t>
    <phoneticPr fontId="2" type="noConversion"/>
  </si>
  <si>
    <t>나무;1100*1100*140mm;훈증;</t>
    <phoneticPr fontId="53" type="noConversion"/>
  </si>
  <si>
    <t>천태현대</t>
    <phoneticPr fontId="2" type="noConversion"/>
  </si>
  <si>
    <t>SLEEVE NIL PAD</t>
    <phoneticPr fontId="2" type="noConversion"/>
  </si>
  <si>
    <t>MGBAA014700</t>
    <phoneticPr fontId="2" type="noConversion"/>
  </si>
  <si>
    <t>골판지;SLEEVE NIL PAD_M</t>
    <phoneticPr fontId="2" type="noConversion"/>
  </si>
  <si>
    <t xml:space="preserve">DWAB;1050*1050mm; </t>
    <phoneticPr fontId="2" type="noConversion"/>
  </si>
  <si>
    <t>AN VIET PHAT</t>
    <phoneticPr fontId="2" type="noConversion"/>
  </si>
  <si>
    <t>골판지;SLEEVE NIL PAD_Q</t>
    <phoneticPr fontId="2" type="noConversion"/>
  </si>
  <si>
    <t xml:space="preserve">DWAB;1050*1050mm; </t>
    <phoneticPr fontId="2" type="noConversion"/>
  </si>
  <si>
    <t>보춘래공무
청도파극사포장</t>
    <phoneticPr fontId="2" type="noConversion"/>
  </si>
  <si>
    <t>LABEL</t>
    <phoneticPr fontId="2" type="noConversion"/>
  </si>
  <si>
    <t>LABEL;BOX LABEL_VD SMPS_M</t>
    <phoneticPr fontId="2" type="noConversion"/>
  </si>
  <si>
    <t xml:space="preserve">ART PAPER;68.0*100.0mm; </t>
    <phoneticPr fontId="2" type="noConversion"/>
  </si>
  <si>
    <t>SHINKWANG SEALING
LG라벨테크
신아</t>
    <phoneticPr fontId="2" type="noConversion"/>
  </si>
  <si>
    <t>부자재</t>
    <phoneticPr fontId="2" type="noConversion"/>
  </si>
  <si>
    <t>BROTHERS PACKAGING
LG라벨테크
신아</t>
    <phoneticPr fontId="2" type="noConversion"/>
  </si>
  <si>
    <t>LABEL</t>
    <phoneticPr fontId="2" type="noConversion"/>
  </si>
  <si>
    <t>LABEL;BARCODE LABEL_M</t>
    <phoneticPr fontId="2" type="noConversion"/>
  </si>
  <si>
    <t xml:space="preserve">WHITE POLY;25*11mm;NA; </t>
    <phoneticPr fontId="2" type="noConversion"/>
  </si>
  <si>
    <t>LABEL;BARCODE LABEL_Q</t>
    <phoneticPr fontId="2" type="noConversion"/>
  </si>
  <si>
    <t>RIBBON</t>
    <phoneticPr fontId="2" type="noConversion"/>
  </si>
  <si>
    <t>RRC(B110CR)_RICOH;60*300mm</t>
    <phoneticPr fontId="2" type="noConversion"/>
  </si>
  <si>
    <t>RIBBON FL RRC</t>
    <phoneticPr fontId="2" type="noConversion"/>
  </si>
  <si>
    <t>RICOH</t>
    <phoneticPr fontId="2" type="noConversion"/>
  </si>
  <si>
    <t>MHCAA000430</t>
    <phoneticPr fontId="2" type="noConversion"/>
  </si>
  <si>
    <t>RRC(B110CR)_ITW;60*300mm</t>
    <phoneticPr fontId="2" type="noConversion"/>
  </si>
  <si>
    <t>ITW</t>
    <phoneticPr fontId="2" type="noConversion"/>
  </si>
  <si>
    <t>MHCAA000410</t>
    <phoneticPr fontId="2" type="noConversion"/>
  </si>
  <si>
    <t>RRA_RICOH;110*300mm</t>
    <phoneticPr fontId="2" type="noConversion"/>
  </si>
  <si>
    <t>RIBBON FL RRA</t>
    <phoneticPr fontId="2" type="noConversion"/>
  </si>
  <si>
    <t>RRA_ITW;110*300mm</t>
    <phoneticPr fontId="2" type="noConversion"/>
  </si>
  <si>
    <t>MGBAA014840</t>
    <phoneticPr fontId="2" type="noConversion"/>
  </si>
  <si>
    <t>골판지;MASTER CARTON_L75SA9NA_FDY_M</t>
    <phoneticPr fontId="2" type="noConversion"/>
  </si>
  <si>
    <t>DWAB;305*442*398mm;Black printing;</t>
    <phoneticPr fontId="2" type="noConversion"/>
  </si>
  <si>
    <t>OJITEX;
VINA SUNWOO;</t>
    <phoneticPr fontId="2" type="noConversion"/>
  </si>
  <si>
    <t>부자재</t>
    <phoneticPr fontId="2" type="noConversion"/>
  </si>
  <si>
    <t>MGBAA014760</t>
    <phoneticPr fontId="2" type="noConversion"/>
  </si>
  <si>
    <t>골판지;MASTER CARTON_L75SA9NA_FDY_Q</t>
    <phoneticPr fontId="2" type="noConversion"/>
  </si>
  <si>
    <t>청도파극사포장;
보춘래공무;
청도재정포장;
고밀소아포장;</t>
    <phoneticPr fontId="2" type="noConversion"/>
  </si>
  <si>
    <t>PE-FOAM PAD</t>
    <phoneticPr fontId="2" type="noConversion"/>
  </si>
  <si>
    <t>스치로폴;PE FOAM PAD_L75SA9NA_FDY_M</t>
    <phoneticPr fontId="2" type="noConversion"/>
  </si>
  <si>
    <t xml:space="preserve">PE(WHITE);301*438*70Tmm; </t>
    <phoneticPr fontId="2" type="noConversion"/>
  </si>
  <si>
    <t>SEWHA
MEGATECH</t>
    <phoneticPr fontId="2" type="noConversion"/>
  </si>
  <si>
    <t>부자재</t>
    <phoneticPr fontId="2" type="noConversion"/>
  </si>
  <si>
    <t>MGEAA004070</t>
    <phoneticPr fontId="2" type="noConversion"/>
  </si>
  <si>
    <t>스치로폴;PE FOAM PAD_L75SA9NA_FDY_Q</t>
    <phoneticPr fontId="2" type="noConversion"/>
  </si>
  <si>
    <t>청도중윤성포장
신치얼
BROTHERS PACKAGING</t>
    <phoneticPr fontId="2" type="noConversion"/>
  </si>
  <si>
    <t>PE-FOAM PAD_BOTTOM</t>
    <phoneticPr fontId="2" type="noConversion"/>
  </si>
  <si>
    <t>스치로폴;PE FOAM PAD_BOTTOM_L75SA9NA_FDY_M</t>
    <phoneticPr fontId="2" type="noConversion"/>
  </si>
  <si>
    <t>SEWHA
MEGATECH</t>
    <phoneticPr fontId="2" type="noConversion"/>
  </si>
  <si>
    <t>부자재</t>
    <phoneticPr fontId="2" type="noConversion"/>
  </si>
  <si>
    <t>스치로폴;PE FOAM PAD_BOTTOM_L75SA9NA_FDY_Q</t>
    <phoneticPr fontId="2" type="noConversion"/>
  </si>
  <si>
    <t xml:space="preserve">PE(WHITE);301*438*70Tmm; </t>
    <phoneticPr fontId="2" type="noConversion"/>
  </si>
  <si>
    <t>청도중윤성포장
신치얼
BROTHERS PACKAGING</t>
    <phoneticPr fontId="2" type="noConversion"/>
  </si>
  <si>
    <t>M3;6mm;PH;PW;3+Cr;+;</t>
    <phoneticPr fontId="2" type="noConversion"/>
  </si>
  <si>
    <t>PW MSPH]3*6 Cr3+/WHITE</t>
    <phoneticPr fontId="2" type="noConversion"/>
  </si>
  <si>
    <t>성진메탈</t>
    <phoneticPr fontId="2" type="noConversion"/>
  </si>
  <si>
    <t>IC PWM CONTROLLER</t>
    <phoneticPr fontId="2" type="noConversion"/>
  </si>
  <si>
    <t>IC PFC CONTROL</t>
    <phoneticPr fontId="2" type="noConversion"/>
  </si>
  <si>
    <t>MRNAA052210</t>
    <phoneticPr fontId="2" type="noConversion"/>
  </si>
  <si>
    <t>CEM-1;ETL-502;1.6T;370x310mm;1layer;1Oz;V-0;130℃;600CTI;</t>
    <phoneticPr fontId="2" type="noConversion"/>
  </si>
  <si>
    <t>PCB;L75SA9NA_FDY</t>
    <phoneticPr fontId="2" type="noConversion"/>
  </si>
  <si>
    <t>SP801,SP802,SP803,SP804,SP808,SP809</t>
    <phoneticPr fontId="2" type="noConversion"/>
  </si>
  <si>
    <t>MRBAB001360</t>
    <phoneticPr fontId="2" type="noConversion"/>
  </si>
  <si>
    <t>삼화전기</t>
    <phoneticPr fontId="2" type="noConversion"/>
  </si>
  <si>
    <t>MPCAA011370</t>
    <phoneticPr fontId="2" type="noConversion"/>
  </si>
  <si>
    <t>MPCAA004910</t>
    <phoneticPr fontId="2" type="noConversion"/>
  </si>
  <si>
    <t>MPCAA005510</t>
    <phoneticPr fontId="2" type="noConversion"/>
  </si>
  <si>
    <t>MPBAB006750</t>
    <phoneticPr fontId="2" type="noConversion"/>
  </si>
  <si>
    <t>MPBAE016890</t>
    <phoneticPr fontId="4" type="noConversion"/>
  </si>
  <si>
    <t>MPBAE016910</t>
    <phoneticPr fontId="4" type="noConversion"/>
  </si>
  <si>
    <t>MPBAE018100</t>
    <phoneticPr fontId="2" type="noConversion"/>
  </si>
  <si>
    <t>MPBAB006290</t>
    <phoneticPr fontId="2" type="noConversion"/>
  </si>
  <si>
    <t>MPBAA005880</t>
    <phoneticPr fontId="2" type="noConversion"/>
  </si>
  <si>
    <t>MPBAA005890</t>
    <phoneticPr fontId="2" type="noConversion"/>
  </si>
  <si>
    <t>MPBAA005820</t>
    <phoneticPr fontId="2" type="noConversion"/>
  </si>
  <si>
    <t>MPBAD028960</t>
    <phoneticPr fontId="2" type="noConversion"/>
  </si>
  <si>
    <t>MPBAD029140</t>
    <phoneticPr fontId="2" type="noConversion"/>
  </si>
  <si>
    <t>MPBAD028970</t>
    <phoneticPr fontId="2" type="noConversion"/>
  </si>
  <si>
    <t>MPBAD029490</t>
    <phoneticPr fontId="2" type="noConversion"/>
  </si>
  <si>
    <t>MRBAD002820</t>
    <phoneticPr fontId="2" type="noConversion"/>
  </si>
  <si>
    <t>MQCAA028050</t>
    <phoneticPr fontId="2" type="noConversion"/>
  </si>
  <si>
    <t>MQCAD031760</t>
    <phoneticPr fontId="2" type="noConversion"/>
  </si>
  <si>
    <t>MQCAD032100</t>
    <phoneticPr fontId="2" type="noConversion"/>
  </si>
  <si>
    <t>MQCAD033800</t>
    <phoneticPr fontId="2" type="noConversion"/>
  </si>
  <si>
    <t>MQCAD032590</t>
    <phoneticPr fontId="2" type="noConversion"/>
  </si>
  <si>
    <t>MQCAD031020</t>
    <phoneticPr fontId="2" type="noConversion"/>
  </si>
  <si>
    <t>MQCAD032350</t>
    <phoneticPr fontId="2" type="noConversion"/>
  </si>
  <si>
    <t>MQCAD029200</t>
    <phoneticPr fontId="2" type="noConversion"/>
  </si>
  <si>
    <t>MQCAD032370</t>
    <phoneticPr fontId="2" type="noConversion"/>
  </si>
  <si>
    <t>MQCAD029210</t>
    <phoneticPr fontId="2" type="noConversion"/>
  </si>
  <si>
    <t>MQCAD029220</t>
    <phoneticPr fontId="2" type="noConversion"/>
  </si>
  <si>
    <t>MQCAD032450</t>
    <phoneticPr fontId="2" type="noConversion"/>
  </si>
  <si>
    <t>MQCAD031010</t>
    <phoneticPr fontId="2" type="noConversion"/>
  </si>
  <si>
    <t>MQCAD030310</t>
    <phoneticPr fontId="2" type="noConversion"/>
  </si>
  <si>
    <t>MQCAD030250</t>
    <phoneticPr fontId="2" type="noConversion"/>
  </si>
  <si>
    <t>MQAAG069120</t>
    <phoneticPr fontId="2" type="noConversion"/>
  </si>
  <si>
    <t>MQAAG078120</t>
    <phoneticPr fontId="2" type="noConversion"/>
  </si>
  <si>
    <t>MQAAG068620</t>
    <phoneticPr fontId="2" type="noConversion"/>
  </si>
  <si>
    <t>MQAAG077810</t>
    <phoneticPr fontId="2" type="noConversion"/>
  </si>
  <si>
    <t>MQAAG068420</t>
    <phoneticPr fontId="2" type="noConversion"/>
  </si>
  <si>
    <t>MQAAG068320</t>
    <phoneticPr fontId="2" type="noConversion"/>
  </si>
  <si>
    <t>MQAAG068440</t>
    <phoneticPr fontId="2" type="noConversion"/>
  </si>
  <si>
    <t>MQAAG067220</t>
    <phoneticPr fontId="2" type="noConversion"/>
  </si>
  <si>
    <t>MQAAG064620</t>
    <phoneticPr fontId="2" type="noConversion"/>
  </si>
  <si>
    <t>MQAAG070830</t>
    <phoneticPr fontId="2" type="noConversion"/>
  </si>
  <si>
    <t>MQAAG064520</t>
    <phoneticPr fontId="2" type="noConversion"/>
  </si>
  <si>
    <t>MQAAG072230</t>
    <phoneticPr fontId="2" type="noConversion"/>
  </si>
  <si>
    <t>MQAAG063420</t>
    <phoneticPr fontId="2" type="noConversion"/>
  </si>
  <si>
    <t>MQAAG080020</t>
    <phoneticPr fontId="2" type="noConversion"/>
  </si>
  <si>
    <t>MQAAG081650</t>
    <phoneticPr fontId="2" type="noConversion"/>
  </si>
  <si>
    <t>MQAAG083860</t>
    <phoneticPr fontId="2" type="noConversion"/>
  </si>
  <si>
    <t>MQAAG059700</t>
    <phoneticPr fontId="2" type="noConversion"/>
  </si>
  <si>
    <t>MQAAG102960</t>
    <phoneticPr fontId="2" type="noConversion"/>
  </si>
  <si>
    <t>MQAAG058950</t>
    <phoneticPr fontId="2" type="noConversion"/>
  </si>
  <si>
    <t>MQAAG067820</t>
    <phoneticPr fontId="2" type="noConversion"/>
  </si>
  <si>
    <t>MQAAG083490</t>
    <phoneticPr fontId="2" type="noConversion"/>
  </si>
  <si>
    <t>JPM803,JPM804,JPM805,JPM902</t>
    <phoneticPr fontId="2" type="noConversion"/>
  </si>
  <si>
    <t>MQAAG091040</t>
    <phoneticPr fontId="2" type="noConversion"/>
  </si>
  <si>
    <t>MQAAG024940</t>
    <phoneticPr fontId="2" type="noConversion"/>
  </si>
  <si>
    <t>MQAAG087420</t>
    <phoneticPr fontId="2" type="noConversion"/>
  </si>
  <si>
    <t>MQAAG091670</t>
    <phoneticPr fontId="53" type="noConversion"/>
  </si>
  <si>
    <t>MQAAG029820</t>
    <phoneticPr fontId="2" type="noConversion"/>
  </si>
  <si>
    <t>MQAAG085500</t>
    <phoneticPr fontId="2" type="noConversion"/>
  </si>
  <si>
    <t>MQAAG091640</t>
    <phoneticPr fontId="2" type="noConversion"/>
  </si>
  <si>
    <t>MQAAG063460</t>
    <phoneticPr fontId="2" type="noConversion"/>
  </si>
  <si>
    <t>MQAAG084320</t>
    <phoneticPr fontId="2" type="noConversion"/>
  </si>
  <si>
    <t>MQAAG084710</t>
    <phoneticPr fontId="2" type="noConversion"/>
  </si>
  <si>
    <t>MQAAG087450</t>
    <phoneticPr fontId="2" type="noConversion"/>
  </si>
  <si>
    <t>MQAAG081700</t>
    <phoneticPr fontId="2" type="noConversion"/>
  </si>
  <si>
    <t>MQAAG087130</t>
    <phoneticPr fontId="2" type="noConversion"/>
  </si>
  <si>
    <t>MQAAG033530</t>
    <phoneticPr fontId="2" type="noConversion"/>
  </si>
  <si>
    <t>MQAAG037630</t>
    <phoneticPr fontId="2" type="noConversion"/>
  </si>
  <si>
    <t>MQAAG059970</t>
    <phoneticPr fontId="2" type="noConversion"/>
  </si>
  <si>
    <t>MQAAG069080</t>
    <phoneticPr fontId="2" type="noConversion"/>
  </si>
  <si>
    <t>MQAAG088140</t>
    <phoneticPr fontId="2" type="noConversion"/>
  </si>
  <si>
    <t>MQAAG056140</t>
    <phoneticPr fontId="2" type="noConversion"/>
  </si>
  <si>
    <t>MQAAG087120</t>
    <phoneticPr fontId="2" type="noConversion"/>
  </si>
  <si>
    <t>MQAAG087110</t>
    <phoneticPr fontId="2" type="noConversion"/>
  </si>
  <si>
    <t>MQAAG091890</t>
    <phoneticPr fontId="2" type="noConversion"/>
  </si>
  <si>
    <t>MQAAG031020</t>
    <phoneticPr fontId="2" type="noConversion"/>
  </si>
  <si>
    <t>MQAAG087460</t>
    <phoneticPr fontId="2" type="noConversion"/>
  </si>
  <si>
    <t>MQAAG081800</t>
    <phoneticPr fontId="2" type="noConversion"/>
  </si>
  <si>
    <t>MQAAG046350</t>
    <phoneticPr fontId="2" type="noConversion"/>
  </si>
  <si>
    <t>MQAAG028020</t>
    <phoneticPr fontId="2" type="noConversion"/>
  </si>
  <si>
    <t>MQAAG086120</t>
    <phoneticPr fontId="2" type="noConversion"/>
  </si>
  <si>
    <t>MQAAG059240</t>
    <phoneticPr fontId="2" type="noConversion"/>
  </si>
  <si>
    <t>MQAAG083900</t>
    <phoneticPr fontId="2" type="noConversion"/>
  </si>
  <si>
    <t>MQAAG028750</t>
    <phoneticPr fontId="2" type="noConversion"/>
  </si>
  <si>
    <t>MQAAG088130</t>
    <phoneticPr fontId="2" type="noConversion"/>
  </si>
  <si>
    <t>MQAAG072260</t>
    <phoneticPr fontId="2" type="noConversion"/>
  </si>
  <si>
    <t>RP814,RQ857,RQ858</t>
    <phoneticPr fontId="2" type="noConversion"/>
  </si>
  <si>
    <t>MQAAG085530</t>
    <phoneticPr fontId="2" type="noConversion"/>
  </si>
  <si>
    <t>MQAAG022510</t>
    <phoneticPr fontId="2" type="noConversion"/>
  </si>
  <si>
    <t>MPDAF005870</t>
    <phoneticPr fontId="4" type="noConversion"/>
  </si>
  <si>
    <t>RP809,RP810,RP811,RP812,RP826,RP827,RP828,RP829,RP834,RP835,RP836,RP837,RM901,RM902,RM903,RM904</t>
    <phoneticPr fontId="2" type="noConversion"/>
  </si>
  <si>
    <t>MQCAD030260</t>
    <phoneticPr fontId="2" type="noConversion"/>
  </si>
  <si>
    <t>MQCAA028650</t>
    <phoneticPr fontId="2" type="noConversion"/>
  </si>
  <si>
    <t>MQCAA029270</t>
    <phoneticPr fontId="4" type="noConversion"/>
  </si>
  <si>
    <t>MQCAA028710</t>
    <phoneticPr fontId="2" type="noConversion"/>
  </si>
  <si>
    <t>MQCAA028690</t>
    <phoneticPr fontId="2" type="noConversion"/>
  </si>
  <si>
    <t>MQEAA109110</t>
    <phoneticPr fontId="2" type="noConversion"/>
  </si>
  <si>
    <t>MQEAA103530</t>
    <phoneticPr fontId="2" type="noConversion"/>
  </si>
  <si>
    <t>MPBAI012610</t>
    <phoneticPr fontId="2" type="noConversion"/>
  </si>
  <si>
    <t>MQAAC042230</t>
    <phoneticPr fontId="2" type="noConversion"/>
  </si>
  <si>
    <t>MRFAC000320</t>
    <phoneticPr fontId="2" type="noConversion"/>
  </si>
  <si>
    <t>MRSAS000820</t>
    <phoneticPr fontId="2" type="noConversion"/>
  </si>
  <si>
    <t>MFBAB001030</t>
    <phoneticPr fontId="2" type="noConversion"/>
  </si>
  <si>
    <t>MFBAB001021</t>
    <phoneticPr fontId="2" type="noConversion"/>
  </si>
  <si>
    <t>MFBAD000821</t>
    <phoneticPr fontId="2" type="noConversion"/>
  </si>
  <si>
    <t>MBDAE006360</t>
    <phoneticPr fontId="2" type="noConversion"/>
  </si>
  <si>
    <t>MFAAB000950</t>
    <phoneticPr fontId="2" type="noConversion"/>
  </si>
  <si>
    <t>MQDAB021360</t>
    <phoneticPr fontId="2" type="noConversion"/>
  </si>
  <si>
    <t>MQCAA028940</t>
    <phoneticPr fontId="2" type="noConversion"/>
  </si>
  <si>
    <t>MQDAB021000</t>
    <phoneticPr fontId="2" type="noConversion"/>
  </si>
  <si>
    <t>MQDAB021610</t>
    <phoneticPr fontId="2" type="noConversion"/>
  </si>
  <si>
    <t>MQDAB021600</t>
    <phoneticPr fontId="2" type="noConversion"/>
  </si>
  <si>
    <t>MQEAA109050</t>
    <phoneticPr fontId="2" type="noConversion"/>
  </si>
  <si>
    <t>MRHAD002210</t>
    <phoneticPr fontId="2" type="noConversion"/>
  </si>
  <si>
    <t>MRNAA047090</t>
    <phoneticPr fontId="2" type="noConversion"/>
  </si>
  <si>
    <t>MQEAA108560</t>
    <phoneticPr fontId="2" type="noConversion"/>
  </si>
  <si>
    <t xml:space="preserve"> MQEAA109550 </t>
    <phoneticPr fontId="2" type="noConversion"/>
  </si>
  <si>
    <t>MQEAA109460</t>
    <phoneticPr fontId="2" type="noConversion"/>
  </si>
  <si>
    <t>RP801</t>
    <phoneticPr fontId="2" type="noConversion"/>
  </si>
  <si>
    <t>MQAAF005180</t>
    <phoneticPr fontId="2" type="noConversion"/>
  </si>
  <si>
    <t>MRBAM027781</t>
    <phoneticPr fontId="2" type="noConversion"/>
  </si>
  <si>
    <t>MQGAH040830</t>
    <phoneticPr fontId="2" type="noConversion"/>
  </si>
  <si>
    <t>MQBAH008650</t>
    <phoneticPr fontId="2" type="noConversion"/>
  </si>
  <si>
    <t>MRIAA010440</t>
    <phoneticPr fontId="2" type="noConversion"/>
  </si>
  <si>
    <t>MRJAK026490</t>
    <phoneticPr fontId="2" type="noConversion"/>
  </si>
  <si>
    <t>MPBAC005070</t>
    <phoneticPr fontId="2" type="noConversion"/>
  </si>
  <si>
    <t>MFAAA000280</t>
    <phoneticPr fontId="2" type="noConversion"/>
  </si>
  <si>
    <t>MBBAA041500</t>
    <phoneticPr fontId="2" type="noConversion"/>
  </si>
  <si>
    <t>MPBAI013790</t>
    <phoneticPr fontId="2" type="noConversion"/>
  </si>
  <si>
    <t>MPCAE015530</t>
    <phoneticPr fontId="2" type="noConversion"/>
  </si>
  <si>
    <t>MBBAA041490</t>
    <phoneticPr fontId="2" type="noConversion"/>
  </si>
  <si>
    <t>MFAAA000280</t>
    <phoneticPr fontId="2" type="noConversion"/>
  </si>
  <si>
    <t>MPBAE017040</t>
    <phoneticPr fontId="2" type="noConversion"/>
  </si>
  <si>
    <t>MFAAA000280</t>
    <phoneticPr fontId="2" type="noConversion"/>
  </si>
  <si>
    <t>MBBAA041470</t>
    <phoneticPr fontId="2" type="noConversion"/>
  </si>
  <si>
    <t>MPBAE015130</t>
    <phoneticPr fontId="2" type="noConversion"/>
  </si>
  <si>
    <t>MFAAA000280</t>
    <phoneticPr fontId="2" type="noConversion"/>
  </si>
  <si>
    <t>MDAAF001420</t>
    <phoneticPr fontId="2" type="noConversion"/>
  </si>
  <si>
    <t>MRJCA000630</t>
    <phoneticPr fontId="2" type="noConversion"/>
  </si>
  <si>
    <t>MRJCA000210</t>
    <phoneticPr fontId="2" type="noConversion"/>
  </si>
  <si>
    <t>LABEL;BOX LABEL_VD SMPS_Q</t>
    <phoneticPr fontId="2" type="noConversion"/>
  </si>
  <si>
    <t>MHAAA113050</t>
    <phoneticPr fontId="2" type="noConversion"/>
  </si>
  <si>
    <t>MHAAA113020</t>
    <phoneticPr fontId="2" type="noConversion"/>
  </si>
  <si>
    <t>MHCAA000440</t>
    <phoneticPr fontId="2" type="noConversion"/>
  </si>
  <si>
    <t>MGEAA004230</t>
    <phoneticPr fontId="2" type="noConversion"/>
  </si>
  <si>
    <t>MGEAA004220</t>
    <phoneticPr fontId="2" type="noConversion"/>
  </si>
  <si>
    <t>MGBAC002830</t>
    <phoneticPr fontId="2" type="noConversion"/>
  </si>
  <si>
    <t>MGBAC002870</t>
    <phoneticPr fontId="2" type="noConversion"/>
  </si>
  <si>
    <t>MGBAA014720</t>
    <phoneticPr fontId="2" type="noConversion"/>
  </si>
  <si>
    <t>MHAAA113070</t>
    <phoneticPr fontId="2" type="noConversion"/>
  </si>
  <si>
    <t>MHAAA113040</t>
    <phoneticPr fontId="2" type="noConversion"/>
  </si>
  <si>
    <t>MHCAA000420</t>
    <phoneticPr fontId="2" type="noConversion"/>
  </si>
  <si>
    <t>MGEAA004060</t>
    <phoneticPr fontId="2" type="noConversion"/>
  </si>
  <si>
    <t>R-CEMENT;MPR 5W LP 0R012 J</t>
    <phoneticPr fontId="2" type="noConversion"/>
  </si>
  <si>
    <t>R-CEMENT;MPR05SLJR012</t>
    <phoneticPr fontId="2" type="noConversion"/>
  </si>
  <si>
    <t>CM808H,CM810H,CM811H,CM828H,CM902H,CM903H,CM912H,CM913H,CP820H,CP825H</t>
    <phoneticPr fontId="2" type="noConversion"/>
  </si>
  <si>
    <t>RM806,RM809,RM826,RM844,RM857,RM867,RM893,RM915,RM919,RM939,RM941,RP817,RP843,RP822</t>
    <phoneticPr fontId="2" type="noConversion"/>
  </si>
  <si>
    <t>RP816,RP844,RM929,RM928</t>
    <phoneticPr fontId="2" type="noConversion"/>
  </si>
  <si>
    <t>RM861,RM882,RM997</t>
    <phoneticPr fontId="2" type="noConversion"/>
  </si>
  <si>
    <t>RP845,RM858,RM860,RM895,RM995</t>
    <phoneticPr fontId="2" type="noConversion"/>
  </si>
  <si>
    <t>250V;8A;H;Time Lag;Ceramic;BK;ㄱ;26mm;X3.3mm</t>
    <phoneticPr fontId="2" type="noConversion"/>
  </si>
  <si>
    <t>FUSE</t>
    <phoneticPr fontId="2" type="noConversion"/>
  </si>
  <si>
    <t>MRIAA010540</t>
    <phoneticPr fontId="2" type="noConversion"/>
  </si>
  <si>
    <t>MRIAA010580</t>
    <phoneticPr fontId="2" type="noConversion"/>
  </si>
  <si>
    <t>FUSE-FERRULE;0835008.MXG948F79P</t>
    <phoneticPr fontId="2" type="noConversion"/>
  </si>
  <si>
    <t>250V;8A;H;Time Lag;Ceramic;BK;ㄱ;26mm;X3.3mm</t>
    <phoneticPr fontId="2" type="noConversion"/>
  </si>
  <si>
    <t>LITTELFUSE</t>
    <phoneticPr fontId="2" type="noConversion"/>
  </si>
  <si>
    <t>FUSE-FERRULE;BKS1-S505SC-8-R-M FORMING</t>
    <phoneticPr fontId="2" type="noConversion"/>
  </si>
  <si>
    <r>
      <t>JPM801,JPM802,JPM806,JPM807,JPM808,JPM809,JPM810,JPM811,JPM812,JPM813,JPM901,JPM903,JPM904,JPM905,JPP801</t>
    </r>
    <r>
      <rPr>
        <sz val="11"/>
        <rFont val="굴림체"/>
        <family val="3"/>
        <charset val="129"/>
      </rPr>
      <t>,RM937</t>
    </r>
    <phoneticPr fontId="2" type="noConversion"/>
  </si>
  <si>
    <t>750V;14phi;BK;ㄱ;</t>
    <phoneticPr fontId="2" type="noConversion"/>
  </si>
  <si>
    <t>CX801S,CX802S,CX803S</t>
    <phoneticPr fontId="2" type="noConversion"/>
  </si>
  <si>
    <t>CY805S</t>
    <phoneticPr fontId="2" type="noConversion"/>
  </si>
  <si>
    <t>400V;0.00033uF;±10%;BK;Y;12.5mm;-25℃~+125℃;</t>
    <phoneticPr fontId="2" type="noConversion"/>
  </si>
  <si>
    <t>C-CERAMIC(DISK);CT7-Y1-250V-07e-B-331K 3</t>
    <phoneticPr fontId="2" type="noConversion"/>
  </si>
  <si>
    <t>MQCAA028620</t>
    <phoneticPr fontId="2" type="noConversion"/>
  </si>
  <si>
    <t>MQIAB005620</t>
    <phoneticPr fontId="2" type="noConversion"/>
  </si>
  <si>
    <t>THERMISTOR NTC;DSC-5D13MASK (PDC3.7)</t>
    <phoneticPr fontId="2" type="noConversion"/>
  </si>
  <si>
    <t>0.005KΩ;-40~180℃;13PHI;BK;ㄱ;</t>
    <phoneticPr fontId="2" type="noConversion"/>
  </si>
  <si>
    <t>MQIAB005660</t>
    <phoneticPr fontId="2" type="noConversion"/>
  </si>
  <si>
    <t>THERMISTOR NTC;ICL 06 SLM 5R00</t>
    <phoneticPr fontId="2" type="noConversion"/>
  </si>
  <si>
    <t>0.005KΩ;-40~155℃;13PHI;BK;ㄱ;</t>
    <phoneticPr fontId="2" type="noConversion"/>
  </si>
  <si>
    <t>스마트전자</t>
    <phoneticPr fontId="2" type="noConversion"/>
  </si>
  <si>
    <t>EDGE PAPER</t>
    <phoneticPr fontId="2" type="noConversion"/>
  </si>
  <si>
    <t>MGBAC002850</t>
    <phoneticPr fontId="2" type="noConversion"/>
  </si>
  <si>
    <t>기타종이류;EDGE PAPER_M</t>
    <phoneticPr fontId="2" type="noConversion"/>
  </si>
  <si>
    <t>50*50*3Tmm;</t>
    <phoneticPr fontId="2" type="noConversion"/>
  </si>
  <si>
    <t>AN VIET PHAT</t>
    <phoneticPr fontId="2" type="noConversion"/>
  </si>
  <si>
    <t>기타종이류;EDGE PAPER_Q</t>
    <phoneticPr fontId="2" type="noConversion"/>
  </si>
  <si>
    <t>보춘래공무</t>
    <phoneticPr fontId="2" type="noConversion"/>
  </si>
  <si>
    <t>FOR BD801S,BD803S</t>
    <phoneticPr fontId="2" type="noConversion"/>
  </si>
  <si>
    <t>SCREW-TAPTITE</t>
    <phoneticPr fontId="2" type="noConversion"/>
  </si>
  <si>
    <t>MCAAA009870</t>
    <phoneticPr fontId="2" type="noConversion"/>
  </si>
  <si>
    <t>MCAAA009870</t>
    <phoneticPr fontId="2" type="noConversion"/>
  </si>
  <si>
    <t>PW MSPH]3*7 Cr3+/WHITE</t>
    <phoneticPr fontId="2" type="noConversion"/>
  </si>
  <si>
    <t>M3;7mm;PH;PW;3+Cr;+;</t>
    <phoneticPr fontId="2" type="noConversion"/>
  </si>
  <si>
    <t>성진메탈;아산볼트</t>
    <phoneticPr fontId="2" type="noConversion"/>
  </si>
  <si>
    <t>HS</t>
    <phoneticPr fontId="2" type="noConversion"/>
  </si>
  <si>
    <t>PW MSPH]3*7 Cr3+/WHITE</t>
    <phoneticPr fontId="2" type="noConversion"/>
  </si>
  <si>
    <t>M3;7mm;PH;PW;3+Cr;+;</t>
    <phoneticPr fontId="2" type="noConversion"/>
  </si>
  <si>
    <t>FOR DP804C,QP801CS,QP803CS</t>
    <phoneticPr fontId="2" type="noConversion"/>
  </si>
  <si>
    <t>MCAAA009590</t>
    <phoneticPr fontId="2" type="noConversion"/>
  </si>
  <si>
    <t>PW MSPH]3*6 Cr3+/WHITE</t>
    <phoneticPr fontId="2" type="noConversion"/>
  </si>
  <si>
    <t>M3;6mm;PH;PW;3+Cr;+;</t>
    <phoneticPr fontId="2" type="noConversion"/>
  </si>
  <si>
    <t>성진메탈</t>
    <phoneticPr fontId="2" type="noConversion"/>
  </si>
  <si>
    <t>MCAAA009590</t>
    <phoneticPr fontId="2" type="noConversion"/>
  </si>
  <si>
    <t>아산볼트</t>
    <phoneticPr fontId="2" type="noConversion"/>
  </si>
  <si>
    <t>아산볼트</t>
    <phoneticPr fontId="2" type="noConversion"/>
  </si>
  <si>
    <t>FOR QM906CS,QM907CS</t>
    <phoneticPr fontId="2" type="noConversion"/>
  </si>
  <si>
    <t>MCAAA009590</t>
    <phoneticPr fontId="2" type="noConversion"/>
  </si>
  <si>
    <t>PW MSPH]3*6 Cr3+/WHITE</t>
    <phoneticPr fontId="2" type="noConversion"/>
  </si>
  <si>
    <t>M3;6mm;PH;PW;3+Cr;+;</t>
    <phoneticPr fontId="2" type="noConversion"/>
  </si>
  <si>
    <t>성진메탈</t>
    <phoneticPr fontId="2" type="noConversion"/>
  </si>
  <si>
    <t>HS</t>
    <phoneticPr fontId="2" type="noConversion"/>
  </si>
  <si>
    <t>MCAAA009590</t>
    <phoneticPr fontId="2" type="noConversion"/>
  </si>
  <si>
    <t>PW MSPH]3*6 Cr3+/WHITE</t>
    <phoneticPr fontId="2" type="noConversion"/>
  </si>
  <si>
    <t>M3;6mm;PH;PW;3+Cr;+;</t>
    <phoneticPr fontId="2" type="noConversion"/>
  </si>
  <si>
    <t>FOR QM811,DM812C,DM858C,DM859C,DM860C</t>
    <phoneticPr fontId="2" type="noConversion"/>
  </si>
  <si>
    <t>PW MSPH]3*6 Cr3+/WHITE</t>
    <phoneticPr fontId="2" type="noConversion"/>
  </si>
  <si>
    <t>M3;6mm;PH;PW;3+Cr;+;</t>
    <phoneticPr fontId="2" type="noConversion"/>
  </si>
  <si>
    <t>HS</t>
    <phoneticPr fontId="2" type="noConversion"/>
  </si>
  <si>
    <t>MCAAA009590</t>
    <phoneticPr fontId="2" type="noConversion"/>
  </si>
  <si>
    <t>PW MSPH]3*6 Cr3+/WHITE</t>
    <phoneticPr fontId="2" type="noConversion"/>
  </si>
  <si>
    <t>아산볼트</t>
    <phoneticPr fontId="2" type="noConversion"/>
  </si>
  <si>
    <t>FOR DM911C,DM912C,DM913C,DM914C</t>
    <phoneticPr fontId="2" type="noConversion"/>
  </si>
  <si>
    <t>PW MSPH]3*6 Cr3+/WHITE</t>
    <phoneticPr fontId="2" type="noConversion"/>
  </si>
  <si>
    <t>M3;6mm;PH;PW;3+Cr;+;</t>
    <phoneticPr fontId="2" type="noConversion"/>
  </si>
  <si>
    <t>성진메탈</t>
    <phoneticPr fontId="2" type="noConversion"/>
  </si>
  <si>
    <t>PW MSPH]3*6 Cr3+/WHITE</t>
    <phoneticPr fontId="2" type="noConversion"/>
  </si>
  <si>
    <t>M3;6mm;PH;PW;3+Cr;+;</t>
    <phoneticPr fontId="2" type="noConversion"/>
  </si>
  <si>
    <t>RELAY-POWER;W33-1ATE DC12V</t>
    <phoneticPr fontId="2" type="noConversion"/>
  </si>
  <si>
    <t>250V;10A;12V;1ea;24.0×11.0×25.0mm;</t>
    <phoneticPr fontId="2" type="noConversion"/>
  </si>
  <si>
    <t>FANHAR</t>
    <phoneticPr fontId="2" type="noConversion"/>
  </si>
  <si>
    <t>WIRE-NO SHEATH CU;TCAAB-JW08-52</t>
    <phoneticPr fontId="2" type="noConversion"/>
  </si>
  <si>
    <t>Al + Cu + Sn;0.8Phi;Taping;</t>
    <phoneticPr fontId="2" type="noConversion"/>
  </si>
  <si>
    <t>토파츠아이</t>
    <phoneticPr fontId="2" type="noConversion"/>
  </si>
  <si>
    <t>CU WIRE]JUMP 0.8Φ CU WIRE</t>
    <phoneticPr fontId="2" type="noConversion"/>
  </si>
  <si>
    <t>0.8Φ CU WIRE</t>
    <phoneticPr fontId="2" type="noConversion"/>
  </si>
  <si>
    <t>세현전자</t>
    <phoneticPr fontId="2" type="noConversion"/>
  </si>
  <si>
    <t>EY01,EY02,EY07,EY08,EY13,EY14,EY17,EY18,EY19,EY20,EY21,EY22,EY23,EY24,EY25,EY26,EY27,EY28,EY29,EY32,EY33,EY38,EY39,EY40,EY41,EY42,EY43,EY44,EY45,EY50,EY51,EY52,EY53,EY62,EY63,EY64,EY65,EY74,EY75,EY76,EY77,EY78,EY79,EY82,EY83,EY86,EY87,EY88,EY90,EY91,EY92,EY94,EY95,EY96,EY97,EY118,EY119,EY122,EY123,EY126,EY130,EY132,EY133,EY134,EY135,EY136,EY137,EY138,EY139,EY142,EY143</t>
    <phoneticPr fontId="2" type="noConversion"/>
  </si>
  <si>
    <t>EY106,EY107,EY108,EY109,EY112,EY113,EY116,EY117,EY140,EY141</t>
    <phoneticPr fontId="2" type="noConversion"/>
  </si>
  <si>
    <t>MRLAA000330</t>
    <phoneticPr fontId="2" type="noConversion"/>
  </si>
  <si>
    <t>JP801,JP802,JP803,JP804,JP805,JP806,JP807,JP808,JP809,JP810,JP811,JP812,JP813,JP814,JP815,JP816,JP817,JP818,JP819,JP820,JP821,JP822,JP823,JP824,JP825,JP826,JP827,JP828,JP829,JP830,JP831,JP832,JP833,JP834,JP835,JP836,JP837,JP838,JP839,JP840,JP841,JP842,JP843,JP844,JP845,JP846,JP847,JP848,JP849,JP850,JP851,JP852,JP853,JP854,JP855,JP856,JP857,JP858,JP859,JP860,JP861,JP862,JP863</t>
    <phoneticPr fontId="2" type="noConversion"/>
  </si>
  <si>
    <t>MRLAA000370</t>
    <phoneticPr fontId="2" type="noConversion"/>
  </si>
  <si>
    <t>JP901,JP902,JP903,JP904,JP905,JP906,JP907,JP908,JP909,JP910,JP911,JP912,JP913,JP914,JP915,JP916,JP917,JP918</t>
    <phoneticPr fontId="2" type="noConversion"/>
  </si>
  <si>
    <t>MRLAA000290</t>
    <phoneticPr fontId="2" type="noConversion"/>
  </si>
  <si>
    <t>MRHAD002450</t>
    <phoneticPr fontId="2" type="noConversion"/>
  </si>
  <si>
    <t>CY801S</t>
    <phoneticPr fontId="2" type="noConversion"/>
  </si>
  <si>
    <t>Y-CAP</t>
    <phoneticPr fontId="2" type="noConversion"/>
  </si>
  <si>
    <t>MQCAA028000</t>
    <phoneticPr fontId="2" type="noConversion"/>
  </si>
  <si>
    <t>C-CERAMIC(DISK);CT7-400VAC-Y1-B-471K SMD</t>
    <phoneticPr fontId="2" type="noConversion"/>
  </si>
  <si>
    <t>400V;0.00047uF;K;BK;SMD;11.4mm;-25～+85℃;</t>
    <phoneticPr fontId="2" type="noConversion"/>
  </si>
  <si>
    <t>ANSHAN KEIFAT ELECTRONIC CERAMIC TECHNICAL</t>
    <phoneticPr fontId="2" type="noConversion"/>
  </si>
  <si>
    <t>SMD</t>
    <phoneticPr fontId="2" type="noConversion"/>
  </si>
  <si>
    <t>MQCAA028400</t>
    <phoneticPr fontId="2" type="noConversion"/>
  </si>
  <si>
    <t>C-CERAMIC(DISK);DK1B3EA471K86RBH01</t>
    <phoneticPr fontId="2" type="noConversion"/>
  </si>
  <si>
    <t>440V;0.00047uF;K;BK;SMD;11.4mm;-25~+85℃;</t>
    <phoneticPr fontId="2" type="noConversion"/>
  </si>
  <si>
    <t>MURATA</t>
    <phoneticPr fontId="2" type="noConversion"/>
  </si>
  <si>
    <t>INORSEN</t>
    <phoneticPr fontId="2" type="noConversion"/>
  </si>
  <si>
    <t>HUIHO</t>
    <phoneticPr fontId="2" type="noConversion"/>
  </si>
  <si>
    <t>EYELET</t>
    <phoneticPr fontId="2" type="noConversion"/>
  </si>
  <si>
    <t>L값 오기입 수정</t>
    <phoneticPr fontId="2" type="noConversion"/>
  </si>
  <si>
    <t>정문수 선임</t>
    <phoneticPr fontId="2" type="noConversion"/>
  </si>
  <si>
    <t>EE4211;550uH;35Ts;12pin;Vertical;</t>
    <phoneticPr fontId="2" type="noConversion"/>
  </si>
  <si>
    <t>EE4211;550uH;35Ts;12pin;Vertical;</t>
    <phoneticPr fontId="2" type="noConversion"/>
  </si>
  <si>
    <t>FT-31*20*3.2;14000uH;44Ts;4pin;Horizental;</t>
    <phoneticPr fontId="2" type="noConversion"/>
  </si>
  <si>
    <t>FT-31*20*3.2;14000uH;44Ts;4pin;Horizental;</t>
    <phoneticPr fontId="2" type="noConversion"/>
  </si>
  <si>
    <t>MPM484212;150uH;32Ts;4pin;Vertical;</t>
    <phoneticPr fontId="2" type="noConversion"/>
  </si>
  <si>
    <t>SA801S,SA802S</t>
    <phoneticPr fontId="2" type="noConversion"/>
  </si>
  <si>
    <t>RM914,RM838,RM935,BEP802,BEP804,CM831H,CM867H,CM828,CP830H,CP831H,CP836H,CP837H,CP827,CP832,CY802S,DP809,DP810,QP802CS,QP804CS,QP803,QP804,QP805,QP806,RM873,RM971,RP808,RP841,RP846,RP848,RP850,RP851,RP852,RP853,RP855,RP856,RP857,RX801S,RX802S,RX803S,RM845,CM963H,CM964H,QM909,RM899,RM951,RM952,RM999,,SA803S,SA804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</si>
</sst>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2" formatCode="_-&quot;₩&quot;* #,##0_-;\-&quot;₩&quot;* #,##0_-;_-&quot;₩&quot;* &quot;-&quot;_-;_-@_-"/>
    <numFmt numFmtId="176" formatCode="0.0_ "/>
    <numFmt numFmtId="177" formatCode="_ &quot;₩&quot;* #,##0_ ;_ &quot;₩&quot;* \-#,##0_ ;_ &quot;₩&quot;* &quot;-&quot;_ ;_ @_ "/>
    <numFmt numFmtId="178" formatCode="_ &quot;₩&quot;* #,##0.00_ ;_ &quot;₩&quot;* \-#,##0.00_ ;_ &quot;₩&quot;* &quot;-&quot;??_ ;_ @_ "/>
    <numFmt numFmtId="179" formatCode="_ * #,##0_ ;_ * \-#,##0_ ;_ * &quot;-&quot;_ ;_ @_ "/>
    <numFmt numFmtId="180" formatCode="_ * #,##0.00_ ;_ * \-#,##0.00_ ;_ * &quot;-&quot;??_ ;_ @_ "/>
    <numFmt numFmtId="181" formatCode="_-&quot;฿&quot;* #,##0_-;\-&quot;฿&quot;* #,##0_-;_-&quot;฿&quot;* &quot;-&quot;_-;_-@_-"/>
    <numFmt numFmtId="182" formatCode="_-&quot;฿&quot;* #,##0.00_-;\-&quot;฿&quot;* #,##0.00_-;_-&quot;฿&quot;* &quot;-&quot;??_-;_-@_-"/>
    <numFmt numFmtId="183" formatCode="[=0]&quot;-&quot;;General"/>
    <numFmt numFmtId="184" formatCode="mm&quot;월&quot;\ dd&quot;일&quot;"/>
    <numFmt numFmtId="185" formatCode="0.000000"/>
  </numFmts>
  <fonts count="56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2"/>
      <name val="Times New Roman"/>
      <family val="1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Helv"/>
      <family val="2"/>
    </font>
    <font>
      <sz val="11"/>
      <color theme="0"/>
      <name val="맑은 고딕"/>
      <family val="3"/>
      <charset val="129"/>
      <scheme val="minor"/>
    </font>
    <font>
      <sz val="11"/>
      <name val="μ¸¿o"/>
      <family val="3"/>
      <charset val="129"/>
    </font>
    <font>
      <sz val="8"/>
      <name val="Times New Roman"/>
      <family val="1"/>
    </font>
    <font>
      <sz val="11"/>
      <name val="µ¸¿ò"/>
      <family val="3"/>
      <charset val="129"/>
    </font>
    <font>
      <b/>
      <sz val="10"/>
      <name val="Helv"/>
      <family val="2"/>
    </font>
    <font>
      <sz val="10"/>
      <name val="MS Sans Serif"/>
      <family val="2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2"/>
      <name val="¹UAAA¼"/>
      <family val="3"/>
      <charset val="129"/>
    </font>
    <font>
      <sz val="14"/>
      <name val="AngsanaUPC"/>
      <family val="1"/>
    </font>
    <font>
      <sz val="14"/>
      <name val="CordiaUPC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0"/>
      <name val="PragmaticaCTT"/>
      <family val="1"/>
    </font>
    <font>
      <sz val="11"/>
      <color rgb="FF9C0006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3"/>
      <name val="굴림체"/>
      <family val="3"/>
      <charset val="129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name val="굴림체"/>
      <family val="3"/>
      <charset val="129"/>
    </font>
    <font>
      <sz val="11"/>
      <name val="Arial Narrow"/>
      <family val="2"/>
    </font>
    <font>
      <sz val="10"/>
      <color indexed="13"/>
      <name val="Arial"/>
      <family val="2"/>
    </font>
    <font>
      <sz val="11"/>
      <name val="굴림"/>
      <family val="3"/>
      <charset val="129"/>
    </font>
    <font>
      <u/>
      <sz val="8.8000000000000007"/>
      <color indexed="12"/>
      <name val="돋움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36"/>
      <name val="굴림체"/>
      <family val="3"/>
      <charset val="129"/>
    </font>
    <font>
      <b/>
      <sz val="11"/>
      <name val="굴림체"/>
      <family val="3"/>
      <charset val="129"/>
    </font>
    <font>
      <sz val="1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07">
    <xf numFmtId="0" fontId="0" fillId="0" borderId="0">
      <alignment vertical="center"/>
    </xf>
    <xf numFmtId="0" fontId="1" fillId="0" borderId="0"/>
    <xf numFmtId="0" fontId="3" fillId="0" borderId="0">
      <alignment vertical="center"/>
    </xf>
    <xf numFmtId="0" fontId="5" fillId="0" borderId="0"/>
    <xf numFmtId="0" fontId="3" fillId="0" borderId="0">
      <alignment vertical="center"/>
    </xf>
    <xf numFmtId="0" fontId="5" fillId="0" borderId="0"/>
    <xf numFmtId="0" fontId="6" fillId="0" borderId="0"/>
    <xf numFmtId="0" fontId="5" fillId="0" borderId="0"/>
    <xf numFmtId="37" fontId="7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 applyFont="0" applyFill="0" applyBorder="0" applyAlignment="0" applyProtection="0"/>
    <xf numFmtId="0" fontId="6" fillId="0" borderId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177" fontId="10" fillId="0" borderId="0" applyFont="0" applyFill="0" applyBorder="0" applyAlignment="0" applyProtection="0"/>
    <xf numFmtId="178" fontId="10" fillId="0" borderId="0" applyFont="0" applyFill="0" applyBorder="0" applyAlignment="0" applyProtection="0"/>
    <xf numFmtId="0" fontId="11" fillId="0" borderId="0">
      <alignment horizontal="center" wrapText="1"/>
      <protection locked="0"/>
    </xf>
    <xf numFmtId="179" fontId="10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10" fillId="0" borderId="0"/>
    <xf numFmtId="0" fontId="12" fillId="0" borderId="0"/>
    <xf numFmtId="0" fontId="7" fillId="0" borderId="0" applyFill="0" applyBorder="0" applyAlignment="0"/>
    <xf numFmtId="0" fontId="13" fillId="0" borderId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5" fillId="0" borderId="0" applyNumberFormat="0" applyAlignment="0">
      <alignment horizontal="left"/>
    </xf>
    <xf numFmtId="0" fontId="16" fillId="0" borderId="0" applyNumberFormat="0" applyAlignment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7" fillId="0" borderId="0" applyNumberFormat="0" applyAlignment="0">
      <alignment horizontal="left"/>
    </xf>
    <xf numFmtId="38" fontId="18" fillId="33" borderId="0" applyNumberFormat="0" applyBorder="0" applyAlignment="0" applyProtection="0"/>
    <xf numFmtId="0" fontId="19" fillId="0" borderId="0">
      <alignment horizontal="left"/>
    </xf>
    <xf numFmtId="0" fontId="20" fillId="0" borderId="13" applyNumberFormat="0" applyAlignment="0" applyProtection="0">
      <alignment horizontal="left" vertical="center"/>
    </xf>
    <xf numFmtId="0" fontId="20" fillId="0" borderId="14">
      <alignment horizontal="left" vertical="center"/>
    </xf>
    <xf numFmtId="10" fontId="18" fillId="33" borderId="10" applyNumberFormat="0" applyBorder="0" applyAlignment="0" applyProtection="0"/>
    <xf numFmtId="0" fontId="21" fillId="0" borderId="11"/>
    <xf numFmtId="0" fontId="7" fillId="0" borderId="0"/>
    <xf numFmtId="0" fontId="16" fillId="0" borderId="0"/>
    <xf numFmtId="10" fontId="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1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4" fillId="0" borderId="0"/>
    <xf numFmtId="0" fontId="9" fillId="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7" fillId="0" borderId="0"/>
    <xf numFmtId="0" fontId="28" fillId="3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3" fillId="8" borderId="8" applyNumberFormat="0" applyFont="0" applyAlignment="0" applyProtection="0">
      <alignment vertical="center"/>
    </xf>
    <xf numFmtId="0" fontId="6" fillId="0" borderId="0"/>
    <xf numFmtId="9" fontId="29" fillId="0" borderId="0" applyFont="0" applyFill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7" fillId="0" borderId="0"/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6" fillId="0" borderId="0"/>
    <xf numFmtId="0" fontId="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34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5" borderId="4" applyNumberFormat="0" applyAlignment="0" applyProtection="0">
      <alignment vertical="center"/>
    </xf>
    <xf numFmtId="0" fontId="36" fillId="5" borderId="4" applyNumberFormat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1" fillId="2" borderId="0" applyNumberFormat="0" applyBorder="0" applyAlignment="0" applyProtection="0">
      <alignment vertical="center"/>
    </xf>
    <xf numFmtId="0" fontId="42" fillId="6" borderId="5" applyNumberFormat="0" applyAlignment="0" applyProtection="0">
      <alignment vertical="center"/>
    </xf>
    <xf numFmtId="0" fontId="42" fillId="6" borderId="5" applyNumberFormat="0" applyAlignment="0" applyProtection="0">
      <alignment vertical="center"/>
    </xf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42" fontId="43" fillId="0" borderId="0" applyFont="0" applyFill="0" applyBorder="0" applyAlignment="0" applyProtection="0"/>
    <xf numFmtId="0" fontId="1" fillId="0" borderId="0">
      <alignment vertical="center"/>
    </xf>
    <xf numFmtId="0" fontId="44" fillId="0" borderId="0">
      <alignment vertical="center"/>
    </xf>
    <xf numFmtId="0" fontId="6" fillId="0" borderId="0"/>
    <xf numFmtId="0" fontId="7" fillId="0" borderId="0">
      <alignment vertical="center"/>
    </xf>
    <xf numFmtId="0" fontId="1" fillId="0" borderId="0">
      <alignment vertical="center"/>
    </xf>
    <xf numFmtId="0" fontId="7" fillId="0" borderId="0"/>
    <xf numFmtId="0" fontId="3" fillId="0" borderId="0">
      <alignment vertical="center"/>
    </xf>
    <xf numFmtId="0" fontId="4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/>
    <xf numFmtId="0" fontId="7" fillId="0" borderId="0"/>
    <xf numFmtId="0" fontId="45" fillId="0" borderId="0"/>
    <xf numFmtId="0" fontId="1" fillId="0" borderId="0"/>
    <xf numFmtId="0" fontId="46" fillId="0" borderId="0"/>
    <xf numFmtId="0" fontId="44" fillId="0" borderId="0">
      <alignment vertical="center"/>
    </xf>
    <xf numFmtId="0" fontId="3" fillId="0" borderId="0">
      <alignment vertical="center"/>
    </xf>
    <xf numFmtId="0" fontId="1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44" fillId="0" borderId="0">
      <alignment vertical="center"/>
    </xf>
  </cellStyleXfs>
  <cellXfs count="262">
    <xf numFmtId="0" fontId="0" fillId="0" borderId="0" xfId="0">
      <alignment vertical="center"/>
    </xf>
    <xf numFmtId="0" fontId="49" fillId="0" borderId="10" xfId="5" applyFont="1" applyFill="1" applyBorder="1" applyAlignment="1" applyProtection="1">
      <alignment vertical="center" wrapText="1"/>
      <protection locked="0"/>
    </xf>
    <xf numFmtId="0" fontId="49" fillId="0" borderId="10" xfId="4" applyFont="1" applyFill="1" applyBorder="1" applyAlignment="1">
      <alignment vertical="center" wrapText="1"/>
    </xf>
    <xf numFmtId="0" fontId="49" fillId="0" borderId="0" xfId="2" applyFont="1" applyFill="1" applyBorder="1" applyAlignment="1">
      <alignment horizontal="center" vertical="center"/>
    </xf>
    <xf numFmtId="0" fontId="49" fillId="0" borderId="10" xfId="1" applyFont="1" applyFill="1" applyBorder="1" applyAlignment="1">
      <alignment vertical="center" wrapText="1"/>
    </xf>
    <xf numFmtId="0" fontId="49" fillId="0" borderId="10" xfId="1" applyFont="1" applyFill="1" applyBorder="1" applyAlignment="1">
      <alignment horizontal="left" vertical="center" wrapText="1"/>
    </xf>
    <xf numFmtId="0" fontId="49" fillId="0" borderId="10" xfId="3" applyFont="1" applyFill="1" applyBorder="1" applyAlignment="1">
      <alignment vertical="center" wrapText="1"/>
    </xf>
    <xf numFmtId="0" fontId="49" fillId="0" borderId="10" xfId="3" applyFont="1" applyFill="1" applyBorder="1" applyAlignment="1">
      <alignment horizontal="left" vertical="center" wrapText="1"/>
    </xf>
    <xf numFmtId="0" fontId="49" fillId="0" borderId="10" xfId="0" applyFont="1" applyFill="1" applyBorder="1" applyAlignment="1">
      <alignment vertical="center" wrapText="1"/>
    </xf>
    <xf numFmtId="0" fontId="49" fillId="0" borderId="10" xfId="0" applyFont="1" applyFill="1" applyBorder="1" applyAlignment="1">
      <alignment horizontal="center" vertical="center" wrapText="1"/>
    </xf>
    <xf numFmtId="0" fontId="49" fillId="0" borderId="0" xfId="2" applyFont="1" applyFill="1" applyAlignment="1">
      <alignment horizontal="center" vertical="center"/>
    </xf>
    <xf numFmtId="0" fontId="49" fillId="0" borderId="10" xfId="0" applyFont="1" applyFill="1" applyBorder="1" applyAlignment="1">
      <alignment horizontal="center" vertical="center"/>
    </xf>
    <xf numFmtId="0" fontId="49" fillId="0" borderId="10" xfId="3" applyNumberFormat="1" applyFont="1" applyFill="1" applyBorder="1" applyAlignment="1" applyProtection="1">
      <alignment horizontal="center" vertical="center" wrapText="1"/>
      <protection locked="0"/>
    </xf>
    <xf numFmtId="0" fontId="49" fillId="0" borderId="0" xfId="2" applyFont="1" applyFill="1" applyBorder="1" applyAlignment="1">
      <alignment horizontal="center" vertical="center" wrapText="1"/>
    </xf>
    <xf numFmtId="0" fontId="49" fillId="0" borderId="10" xfId="3" applyFont="1" applyFill="1" applyBorder="1" applyAlignment="1" applyProtection="1">
      <alignment vertical="center" wrapText="1"/>
      <protection locked="0"/>
    </xf>
    <xf numFmtId="0" fontId="49" fillId="0" borderId="10" xfId="3" applyFont="1" applyFill="1" applyBorder="1" applyAlignment="1" applyProtection="1">
      <alignment horizontal="left" vertical="center" wrapText="1"/>
      <protection locked="0"/>
    </xf>
    <xf numFmtId="0" fontId="49" fillId="0" borderId="10" xfId="2" applyFont="1" applyFill="1" applyBorder="1" applyAlignment="1">
      <alignment vertical="center"/>
    </xf>
    <xf numFmtId="0" fontId="49" fillId="0" borderId="10" xfId="2" applyFont="1" applyFill="1" applyBorder="1" applyAlignment="1">
      <alignment horizontal="left" vertical="center"/>
    </xf>
    <xf numFmtId="0" fontId="49" fillId="0" borderId="0" xfId="2" applyFont="1" applyFill="1" applyAlignment="1">
      <alignment horizontal="center" vertical="center" wrapText="1"/>
    </xf>
    <xf numFmtId="0" fontId="49" fillId="0" borderId="10" xfId="0" applyFont="1" applyFill="1" applyBorder="1" applyAlignment="1">
      <alignment horizontal="left" vertical="center"/>
    </xf>
    <xf numFmtId="0" fontId="49" fillId="0" borderId="0" xfId="2" applyFont="1" applyFill="1">
      <alignment vertical="center"/>
    </xf>
    <xf numFmtId="49" fontId="49" fillId="0" borderId="10" xfId="9" applyNumberFormat="1" applyFont="1" applyFill="1" applyBorder="1" applyAlignment="1">
      <alignment horizontal="center" vertical="center" wrapText="1" shrinkToFit="1"/>
    </xf>
    <xf numFmtId="49" fontId="49" fillId="0" borderId="10" xfId="9" applyNumberFormat="1" applyFont="1" applyFill="1" applyBorder="1" applyAlignment="1">
      <alignment vertical="center" wrapText="1"/>
    </xf>
    <xf numFmtId="176" fontId="49" fillId="0" borderId="10" xfId="1" applyNumberFormat="1" applyFont="1" applyFill="1" applyBorder="1" applyAlignment="1" applyProtection="1">
      <alignment horizontal="left" vertical="center" wrapText="1"/>
      <protection locked="0"/>
    </xf>
    <xf numFmtId="0" fontId="49" fillId="0" borderId="10" xfId="1" quotePrefix="1" applyFont="1" applyFill="1" applyBorder="1" applyAlignment="1" applyProtection="1">
      <alignment horizontal="left" vertical="center" wrapText="1"/>
      <protection locked="0"/>
    </xf>
    <xf numFmtId="0" fontId="51" fillId="0" borderId="0" xfId="2" applyFont="1" applyFill="1" applyAlignment="1">
      <alignment horizontal="center" vertical="center"/>
    </xf>
    <xf numFmtId="14" fontId="49" fillId="0" borderId="10" xfId="1" applyNumberFormat="1" applyFont="1" applyFill="1" applyBorder="1" applyAlignment="1" applyProtection="1">
      <alignment horizontal="left" vertical="center" wrapText="1"/>
      <protection locked="0"/>
    </xf>
    <xf numFmtId="0" fontId="51" fillId="0" borderId="10" xfId="3" applyFont="1" applyFill="1" applyBorder="1" applyAlignment="1">
      <alignment horizontal="center" vertical="center" wrapText="1"/>
    </xf>
    <xf numFmtId="0" fontId="51" fillId="0" borderId="10" xfId="4" applyFont="1" applyFill="1" applyBorder="1" applyAlignment="1">
      <alignment horizontal="left" vertical="center" wrapText="1"/>
    </xf>
    <xf numFmtId="0" fontId="51" fillId="0" borderId="10" xfId="3" applyFont="1" applyFill="1" applyBorder="1" applyAlignment="1">
      <alignment vertical="center" wrapText="1"/>
    </xf>
    <xf numFmtId="0" fontId="51" fillId="0" borderId="10" xfId="3" applyFont="1" applyFill="1" applyBorder="1" applyAlignment="1">
      <alignment horizontal="left" vertical="center" wrapText="1"/>
    </xf>
    <xf numFmtId="0" fontId="51" fillId="0" borderId="10" xfId="4" applyFont="1" applyFill="1" applyBorder="1" applyAlignment="1">
      <alignment horizontal="center" vertical="center" wrapText="1"/>
    </xf>
    <xf numFmtId="184" fontId="49" fillId="0" borderId="0" xfId="2" applyNumberFormat="1" applyFont="1" applyFill="1" applyBorder="1" applyAlignment="1">
      <alignment horizontal="center" vertical="center"/>
    </xf>
    <xf numFmtId="0" fontId="8" fillId="0" borderId="0" xfId="2" applyFont="1" applyFill="1" applyAlignment="1">
      <alignment horizontal="center" vertical="center"/>
    </xf>
    <xf numFmtId="0" fontId="49" fillId="0" borderId="17" xfId="0" applyFont="1" applyFill="1" applyBorder="1" applyAlignment="1">
      <alignment vertical="center" wrapText="1"/>
    </xf>
    <xf numFmtId="0" fontId="49" fillId="0" borderId="17" xfId="0" applyFont="1" applyFill="1" applyBorder="1" applyAlignment="1">
      <alignment horizontal="center" vertical="center" wrapText="1"/>
    </xf>
    <xf numFmtId="0" fontId="49" fillId="0" borderId="10" xfId="0" applyFont="1" applyFill="1" applyBorder="1">
      <alignment vertical="center"/>
    </xf>
    <xf numFmtId="0" fontId="49" fillId="0" borderId="18" xfId="0" applyFont="1" applyFill="1" applyBorder="1" applyAlignment="1">
      <alignment horizontal="center" vertical="center" wrapText="1"/>
    </xf>
    <xf numFmtId="0" fontId="49" fillId="0" borderId="17" xfId="0" applyFont="1" applyFill="1" applyBorder="1" applyAlignment="1" applyProtection="1">
      <alignment horizontal="center" vertical="center" wrapText="1"/>
      <protection locked="0"/>
    </xf>
    <xf numFmtId="0" fontId="49" fillId="0" borderId="17" xfId="0" applyFont="1" applyFill="1" applyBorder="1" applyAlignment="1">
      <alignment horizontal="left" vertical="center" wrapText="1"/>
    </xf>
    <xf numFmtId="0" fontId="49" fillId="0" borderId="0" xfId="0" applyFont="1" applyFill="1" applyAlignment="1">
      <alignment vertical="center" wrapText="1"/>
    </xf>
    <xf numFmtId="0" fontId="49" fillId="0" borderId="18" xfId="0" applyFont="1" applyFill="1" applyBorder="1" applyAlignment="1">
      <alignment vertical="center" wrapText="1"/>
    </xf>
    <xf numFmtId="0" fontId="49" fillId="0" borderId="10" xfId="0" applyNumberFormat="1" applyFont="1" applyFill="1" applyBorder="1" applyAlignment="1">
      <alignment horizontal="center" vertical="center" wrapText="1"/>
    </xf>
    <xf numFmtId="0" fontId="49" fillId="0" borderId="10" xfId="0" applyNumberFormat="1" applyFont="1" applyFill="1" applyBorder="1" applyAlignment="1">
      <alignment vertical="center" wrapText="1"/>
    </xf>
    <xf numFmtId="49" fontId="49" fillId="0" borderId="10" xfId="9" applyNumberFormat="1" applyFont="1" applyFill="1" applyBorder="1" applyAlignment="1">
      <alignment horizontal="center" vertical="center" wrapText="1"/>
    </xf>
    <xf numFmtId="0" fontId="49" fillId="0" borderId="10" xfId="4" applyFont="1" applyFill="1" applyBorder="1" applyAlignment="1">
      <alignment vertical="center"/>
    </xf>
    <xf numFmtId="0" fontId="49" fillId="0" borderId="10" xfId="7" applyFont="1" applyFill="1" applyBorder="1" applyAlignment="1">
      <alignment vertical="center" wrapText="1"/>
    </xf>
    <xf numFmtId="0" fontId="49" fillId="0" borderId="0" xfId="2" applyFont="1" applyFill="1" applyAlignment="1">
      <alignment vertical="center"/>
    </xf>
    <xf numFmtId="0" fontId="54" fillId="0" borderId="10" xfId="1" applyFont="1" applyFill="1" applyBorder="1" applyAlignment="1" applyProtection="1">
      <alignment horizontal="center" vertical="center" wrapText="1"/>
      <protection locked="0"/>
    </xf>
    <xf numFmtId="0" fontId="54" fillId="0" borderId="10" xfId="1" applyFont="1" applyFill="1" applyBorder="1" applyAlignment="1">
      <alignment horizontal="left" vertical="center" wrapText="1"/>
    </xf>
    <xf numFmtId="183" fontId="49" fillId="0" borderId="10" xfId="0" applyNumberFormat="1" applyFont="1" applyFill="1" applyBorder="1" applyAlignment="1">
      <alignment horizontal="left" vertical="center"/>
    </xf>
    <xf numFmtId="0" fontId="49" fillId="0" borderId="10" xfId="1" applyFont="1" applyFill="1" applyBorder="1" applyAlignment="1" applyProtection="1">
      <alignment horizontal="left" vertical="center" wrapText="1"/>
      <protection locked="0"/>
    </xf>
    <xf numFmtId="0" fontId="49" fillId="0" borderId="10" xfId="1" applyFont="1" applyFill="1" applyBorder="1" applyAlignment="1" applyProtection="1">
      <alignment horizontal="center" vertical="center" wrapText="1"/>
      <protection locked="0"/>
    </xf>
    <xf numFmtId="0" fontId="49" fillId="34" borderId="0" xfId="2" applyFont="1" applyFill="1" applyAlignment="1">
      <alignment horizontal="center" vertical="center"/>
    </xf>
    <xf numFmtId="0" fontId="49" fillId="34" borderId="0" xfId="2" applyFont="1" applyFill="1" applyBorder="1" applyAlignment="1">
      <alignment horizontal="center" vertical="center"/>
    </xf>
    <xf numFmtId="0" fontId="49" fillId="0" borderId="10" xfId="3" applyFont="1" applyFill="1" applyBorder="1" applyAlignment="1">
      <alignment horizontal="center" vertical="center"/>
    </xf>
    <xf numFmtId="0" fontId="52" fillId="0" borderId="0" xfId="0" applyFont="1" applyFill="1" applyAlignment="1">
      <alignment vertical="center" wrapText="1"/>
    </xf>
    <xf numFmtId="0" fontId="54" fillId="0" borderId="10" xfId="1" applyFont="1" applyFill="1" applyBorder="1" applyAlignment="1" applyProtection="1">
      <alignment horizontal="left" vertical="center" wrapText="1"/>
      <protection locked="0"/>
    </xf>
    <xf numFmtId="0" fontId="54" fillId="0" borderId="10" xfId="4" applyFont="1" applyFill="1" applyBorder="1" applyAlignment="1">
      <alignment horizontal="left" vertical="center" wrapText="1"/>
    </xf>
    <xf numFmtId="0" fontId="49" fillId="0" borderId="10" xfId="1" applyFont="1" applyFill="1" applyBorder="1" applyAlignment="1" applyProtection="1">
      <alignment horizontal="left" vertical="center" wrapText="1"/>
      <protection locked="0"/>
    </xf>
    <xf numFmtId="0" fontId="49" fillId="0" borderId="10" xfId="3" applyFont="1" applyFill="1" applyBorder="1" applyAlignment="1">
      <alignment horizontal="center" vertical="center" wrapText="1"/>
    </xf>
    <xf numFmtId="0" fontId="49" fillId="0" borderId="10" xfId="4" applyFont="1" applyFill="1" applyBorder="1" applyAlignment="1">
      <alignment horizontal="left" vertical="center" wrapText="1"/>
    </xf>
    <xf numFmtId="0" fontId="49" fillId="0" borderId="10" xfId="4" applyFont="1" applyFill="1" applyBorder="1" applyAlignment="1">
      <alignment horizontal="center" vertical="center" wrapText="1"/>
    </xf>
    <xf numFmtId="0" fontId="49" fillId="0" borderId="10" xfId="1" applyFont="1" applyFill="1" applyBorder="1" applyAlignment="1" applyProtection="1">
      <alignment horizontal="center" vertical="center" wrapText="1"/>
      <protection locked="0"/>
    </xf>
    <xf numFmtId="0" fontId="49" fillId="0" borderId="10" xfId="3" applyFont="1" applyFill="1" applyBorder="1" applyAlignment="1" applyProtection="1">
      <alignment horizontal="center" vertical="center" wrapText="1"/>
      <protection locked="0"/>
    </xf>
    <xf numFmtId="0" fontId="49" fillId="0" borderId="10" xfId="5" applyFont="1" applyFill="1" applyBorder="1" applyAlignment="1">
      <alignment horizontal="center" vertical="center" wrapText="1"/>
    </xf>
    <xf numFmtId="0" fontId="49" fillId="0" borderId="10" xfId="5" applyFont="1" applyFill="1" applyBorder="1" applyAlignment="1" applyProtection="1">
      <alignment horizontal="left" vertical="center" wrapText="1"/>
      <protection locked="0"/>
    </xf>
    <xf numFmtId="0" fontId="49" fillId="0" borderId="10" xfId="5" applyFont="1" applyFill="1" applyBorder="1" applyAlignment="1" applyProtection="1">
      <alignment horizontal="center" vertical="center" wrapText="1"/>
      <protection locked="0"/>
    </xf>
    <xf numFmtId="0" fontId="49" fillId="0" borderId="10" xfId="2" applyFont="1" applyFill="1" applyBorder="1" applyAlignment="1">
      <alignment horizontal="center" vertical="center"/>
    </xf>
    <xf numFmtId="0" fontId="54" fillId="0" borderId="10" xfId="1" applyFont="1" applyFill="1" applyBorder="1" applyAlignment="1">
      <alignment vertical="center" wrapText="1"/>
    </xf>
    <xf numFmtId="0" fontId="54" fillId="0" borderId="10" xfId="4" applyFont="1" applyFill="1" applyBorder="1" applyAlignment="1">
      <alignment horizontal="center" vertical="center" wrapText="1"/>
    </xf>
    <xf numFmtId="0" fontId="49" fillId="0" borderId="12" xfId="0" applyFont="1" applyFill="1" applyBorder="1" applyAlignment="1">
      <alignment horizontal="center" vertical="center" wrapText="1"/>
    </xf>
    <xf numFmtId="0" fontId="49" fillId="0" borderId="10" xfId="5" applyNumberFormat="1" applyFont="1" applyFill="1" applyBorder="1" applyAlignment="1" applyProtection="1">
      <alignment horizontal="center" vertical="center" wrapText="1"/>
      <protection locked="0"/>
    </xf>
    <xf numFmtId="0" fontId="49" fillId="0" borderId="10" xfId="0" applyFont="1" applyFill="1" applyBorder="1" applyAlignment="1" applyProtection="1">
      <alignment horizontal="center" vertical="center" wrapText="1"/>
      <protection locked="0"/>
    </xf>
    <xf numFmtId="0" fontId="49" fillId="34" borderId="10" xfId="1" applyFont="1" applyFill="1" applyBorder="1" applyAlignment="1" applyProtection="1">
      <alignment horizontal="center" vertical="center" wrapText="1"/>
      <protection locked="0"/>
    </xf>
    <xf numFmtId="0" fontId="49" fillId="34" borderId="10" xfId="1" applyFont="1" applyFill="1" applyBorder="1" applyAlignment="1">
      <alignment vertical="center" wrapText="1"/>
    </xf>
    <xf numFmtId="0" fontId="49" fillId="34" borderId="10" xfId="1" applyFont="1" applyFill="1" applyBorder="1" applyAlignment="1">
      <alignment horizontal="left" vertical="center" wrapText="1"/>
    </xf>
    <xf numFmtId="0" fontId="49" fillId="34" borderId="10" xfId="3" applyFont="1" applyFill="1" applyBorder="1" applyAlignment="1">
      <alignment horizontal="center" vertical="center" wrapText="1"/>
    </xf>
    <xf numFmtId="0" fontId="49" fillId="34" borderId="10" xfId="3" applyFont="1" applyFill="1" applyBorder="1" applyAlignment="1" applyProtection="1">
      <alignment horizontal="left" vertical="center" wrapText="1"/>
      <protection locked="0"/>
    </xf>
    <xf numFmtId="0" fontId="49" fillId="34" borderId="10" xfId="3" applyFont="1" applyFill="1" applyBorder="1" applyAlignment="1">
      <alignment vertical="center" wrapText="1"/>
    </xf>
    <xf numFmtId="0" fontId="49" fillId="34" borderId="10" xfId="0" applyFont="1" applyFill="1" applyBorder="1" applyAlignment="1">
      <alignment horizontal="center" vertical="center" wrapText="1"/>
    </xf>
    <xf numFmtId="0" fontId="49" fillId="34" borderId="10" xfId="0" applyFont="1" applyFill="1" applyBorder="1" applyAlignment="1">
      <alignment vertical="center" wrapText="1"/>
    </xf>
    <xf numFmtId="0" fontId="49" fillId="34" borderId="17" xfId="0" applyFont="1" applyFill="1" applyBorder="1" applyAlignment="1">
      <alignment vertical="center" wrapText="1"/>
    </xf>
    <xf numFmtId="0" fontId="49" fillId="34" borderId="17" xfId="0" applyFont="1" applyFill="1" applyBorder="1" applyAlignment="1">
      <alignment horizontal="center" vertical="center" wrapText="1"/>
    </xf>
    <xf numFmtId="0" fontId="49" fillId="34" borderId="10" xfId="4" applyFont="1" applyFill="1" applyBorder="1" applyAlignment="1">
      <alignment horizontal="center" vertical="center" wrapText="1"/>
    </xf>
    <xf numFmtId="0" fontId="49" fillId="34" borderId="10" xfId="0" applyFont="1" applyFill="1" applyBorder="1">
      <alignment vertical="center"/>
    </xf>
    <xf numFmtId="0" fontId="49" fillId="34" borderId="10" xfId="4" applyFont="1" applyFill="1" applyBorder="1" applyAlignment="1">
      <alignment vertical="center" wrapText="1"/>
    </xf>
    <xf numFmtId="0" fontId="49" fillId="34" borderId="10" xfId="1" applyFont="1" applyFill="1" applyBorder="1" applyAlignment="1" applyProtection="1">
      <alignment horizontal="left" vertical="center" wrapText="1"/>
      <protection locked="0"/>
    </xf>
    <xf numFmtId="0" fontId="49" fillId="34" borderId="10" xfId="3" applyFont="1" applyFill="1" applyBorder="1" applyAlignment="1">
      <alignment horizontal="left" vertical="center" wrapText="1"/>
    </xf>
    <xf numFmtId="0" fontId="49" fillId="34" borderId="10" xfId="0" applyFont="1" applyFill="1" applyBorder="1" applyAlignment="1">
      <alignment horizontal="center" vertical="center"/>
    </xf>
    <xf numFmtId="0" fontId="49" fillId="34" borderId="12" xfId="0" applyFont="1" applyFill="1" applyBorder="1" applyAlignment="1">
      <alignment horizontal="center" vertical="center" wrapText="1"/>
    </xf>
    <xf numFmtId="0" fontId="49" fillId="34" borderId="18" xfId="0" applyFont="1" applyFill="1" applyBorder="1" applyAlignment="1">
      <alignment horizontal="left" vertical="center" wrapText="1"/>
    </xf>
    <xf numFmtId="0" fontId="49" fillId="34" borderId="18" xfId="0" applyFont="1" applyFill="1" applyBorder="1" applyAlignment="1">
      <alignment horizontal="center" vertical="center" wrapText="1"/>
    </xf>
    <xf numFmtId="0" fontId="54" fillId="34" borderId="10" xfId="1" applyFont="1" applyFill="1" applyBorder="1" applyAlignment="1" applyProtection="1">
      <alignment horizontal="center" vertical="center" wrapText="1"/>
      <protection locked="0"/>
    </xf>
    <xf numFmtId="0" fontId="54" fillId="34" borderId="10" xfId="1" applyFont="1" applyFill="1" applyBorder="1" applyAlignment="1" applyProtection="1">
      <alignment horizontal="left" vertical="center" wrapText="1"/>
      <protection locked="0"/>
    </xf>
    <xf numFmtId="0" fontId="49" fillId="34" borderId="10" xfId="0" applyFont="1" applyFill="1" applyBorder="1" applyAlignment="1">
      <alignment horizontal="left" vertical="center" wrapText="1"/>
    </xf>
    <xf numFmtId="49" fontId="49" fillId="34" borderId="10" xfId="9" applyNumberFormat="1" applyFont="1" applyFill="1" applyBorder="1" applyAlignment="1">
      <alignment vertical="center" wrapText="1"/>
    </xf>
    <xf numFmtId="0" fontId="49" fillId="34" borderId="10" xfId="4" applyFont="1" applyFill="1" applyBorder="1" applyAlignment="1">
      <alignment horizontal="left" vertical="center" wrapText="1"/>
    </xf>
    <xf numFmtId="0" fontId="49" fillId="34" borderId="17" xfId="0" applyFont="1" applyFill="1" applyBorder="1" applyAlignment="1">
      <alignment horizontal="left" vertical="center"/>
    </xf>
    <xf numFmtId="0" fontId="49" fillId="34" borderId="17" xfId="0" applyFont="1" applyFill="1" applyBorder="1" applyAlignment="1" applyProtection="1">
      <alignment horizontal="center" vertical="center" wrapText="1"/>
      <protection locked="0"/>
    </xf>
    <xf numFmtId="0" fontId="49" fillId="34" borderId="10" xfId="0" applyFont="1" applyFill="1" applyBorder="1" applyAlignment="1">
      <alignment horizontal="left" vertical="center"/>
    </xf>
    <xf numFmtId="0" fontId="49" fillId="34" borderId="10" xfId="5" applyFont="1" applyFill="1" applyBorder="1" applyAlignment="1">
      <alignment horizontal="center" vertical="center" wrapText="1"/>
    </xf>
    <xf numFmtId="0" fontId="49" fillId="34" borderId="10" xfId="5" applyFont="1" applyFill="1" applyBorder="1" applyAlignment="1" applyProtection="1">
      <alignment vertical="center" wrapText="1"/>
      <protection locked="0"/>
    </xf>
    <xf numFmtId="0" fontId="49" fillId="34" borderId="10" xfId="5" applyFont="1" applyFill="1" applyBorder="1" applyAlignment="1" applyProtection="1">
      <alignment horizontal="left" vertical="center" wrapText="1"/>
      <protection locked="0"/>
    </xf>
    <xf numFmtId="0" fontId="49" fillId="34" borderId="10" xfId="5" applyFont="1" applyFill="1" applyBorder="1" applyAlignment="1" applyProtection="1">
      <alignment horizontal="center" vertical="center" wrapText="1"/>
      <protection locked="0"/>
    </xf>
    <xf numFmtId="0" fontId="49" fillId="34" borderId="17" xfId="0" applyFont="1" applyFill="1" applyBorder="1" applyAlignment="1" applyProtection="1">
      <alignment vertical="center" wrapText="1"/>
      <protection locked="0"/>
    </xf>
    <xf numFmtId="0" fontId="49" fillId="34" borderId="17" xfId="0" applyFont="1" applyFill="1" applyBorder="1" applyAlignment="1">
      <alignment horizontal="left" vertical="center" wrapText="1"/>
    </xf>
    <xf numFmtId="0" fontId="49" fillId="34" borderId="0" xfId="0" applyFont="1" applyFill="1" applyAlignment="1">
      <alignment vertical="center" wrapText="1"/>
    </xf>
    <xf numFmtId="0" fontId="49" fillId="34" borderId="10" xfId="3" applyFont="1" applyFill="1" applyBorder="1" applyAlignment="1" applyProtection="1">
      <alignment horizontal="center" vertical="center" wrapText="1"/>
      <protection locked="0"/>
    </xf>
    <xf numFmtId="0" fontId="49" fillId="34" borderId="10" xfId="5" applyNumberFormat="1" applyFont="1" applyFill="1" applyBorder="1" applyAlignment="1" applyProtection="1">
      <alignment horizontal="center" vertical="center" wrapText="1"/>
      <protection locked="0"/>
    </xf>
    <xf numFmtId="0" fontId="49" fillId="34" borderId="10" xfId="5" applyFont="1" applyFill="1" applyBorder="1" applyAlignment="1">
      <alignment horizontal="left" vertical="center" wrapText="1"/>
    </xf>
    <xf numFmtId="9" fontId="49" fillId="34" borderId="10" xfId="4" applyNumberFormat="1" applyFont="1" applyFill="1" applyBorder="1" applyAlignment="1">
      <alignment vertical="center" wrapText="1"/>
    </xf>
    <xf numFmtId="0" fontId="49" fillId="34" borderId="10" xfId="3" applyNumberFormat="1" applyFont="1" applyFill="1" applyBorder="1" applyAlignment="1" applyProtection="1">
      <alignment horizontal="center" vertical="center" wrapText="1"/>
      <protection locked="0"/>
    </xf>
    <xf numFmtId="49" fontId="49" fillId="34" borderId="10" xfId="9" applyNumberFormat="1" applyFont="1" applyFill="1" applyBorder="1" applyAlignment="1">
      <alignment horizontal="center" vertical="center" wrapText="1"/>
    </xf>
    <xf numFmtId="0" fontId="49" fillId="34" borderId="10" xfId="4" applyFont="1" applyFill="1" applyBorder="1" applyAlignment="1">
      <alignment vertical="center"/>
    </xf>
    <xf numFmtId="49" fontId="49" fillId="34" borderId="10" xfId="9" applyNumberFormat="1" applyFont="1" applyFill="1" applyBorder="1" applyAlignment="1">
      <alignment horizontal="center" vertical="center" wrapText="1" shrinkToFit="1"/>
    </xf>
    <xf numFmtId="0" fontId="54" fillId="34" borderId="10" xfId="5" applyNumberFormat="1" applyFont="1" applyFill="1" applyBorder="1" applyAlignment="1" applyProtection="1">
      <alignment horizontal="center" vertical="center" wrapText="1"/>
      <protection locked="0"/>
    </xf>
    <xf numFmtId="0" fontId="54" fillId="34" borderId="10" xfId="1" applyFont="1" applyFill="1" applyBorder="1" applyAlignment="1">
      <alignment horizontal="left" vertical="center" wrapText="1"/>
    </xf>
    <xf numFmtId="0" fontId="54" fillId="34" borderId="10" xfId="4" applyFont="1" applyFill="1" applyBorder="1" applyAlignment="1">
      <alignment horizontal="left" vertical="center" wrapText="1"/>
    </xf>
    <xf numFmtId="0" fontId="54" fillId="34" borderId="10" xfId="3" applyNumberFormat="1" applyFont="1" applyFill="1" applyBorder="1" applyAlignment="1" applyProtection="1">
      <alignment horizontal="center" vertical="center" wrapText="1"/>
      <protection locked="0"/>
    </xf>
    <xf numFmtId="0" fontId="54" fillId="34" borderId="10" xfId="3" applyFont="1" applyFill="1" applyBorder="1" applyAlignment="1">
      <alignment horizontal="left" vertical="center" wrapText="1"/>
    </xf>
    <xf numFmtId="49" fontId="49" fillId="34" borderId="17" xfId="9" applyNumberFormat="1" applyFont="1" applyFill="1" applyBorder="1" applyAlignment="1">
      <alignment vertical="center" wrapText="1"/>
    </xf>
    <xf numFmtId="0" fontId="49" fillId="34" borderId="17" xfId="4" applyFont="1" applyFill="1" applyBorder="1" applyAlignment="1">
      <alignment vertical="center"/>
    </xf>
    <xf numFmtId="49" fontId="49" fillId="34" borderId="17" xfId="9" applyNumberFormat="1" applyFont="1" applyFill="1" applyBorder="1" applyAlignment="1">
      <alignment horizontal="center" vertical="center" wrapText="1" shrinkToFit="1"/>
    </xf>
    <xf numFmtId="0" fontId="49" fillId="34" borderId="10" xfId="3" applyFont="1" applyFill="1" applyBorder="1" applyAlignment="1">
      <alignment horizontal="center" vertical="center" wrapText="1"/>
    </xf>
    <xf numFmtId="0" fontId="54" fillId="0" borderId="10" xfId="0" applyFont="1" applyFill="1" applyBorder="1" applyAlignment="1">
      <alignment horizontal="center" vertical="center" wrapText="1"/>
    </xf>
    <xf numFmtId="0" fontId="54" fillId="0" borderId="10" xfId="0" applyFont="1" applyFill="1" applyBorder="1" applyAlignment="1">
      <alignment vertical="center" wrapText="1"/>
    </xf>
    <xf numFmtId="0" fontId="49" fillId="0" borderId="10" xfId="5" applyFont="1" applyFill="1" applyBorder="1" applyAlignment="1">
      <alignment horizontal="center" vertical="center" wrapText="1"/>
    </xf>
    <xf numFmtId="0" fontId="49" fillId="0" borderId="10" xfId="5" applyFont="1" applyFill="1" applyBorder="1" applyAlignment="1" applyProtection="1">
      <alignment horizontal="left" vertical="center" wrapText="1"/>
      <protection locked="0"/>
    </xf>
    <xf numFmtId="0" fontId="49" fillId="0" borderId="10" xfId="5" applyFont="1" applyFill="1" applyBorder="1" applyAlignment="1" applyProtection="1">
      <alignment horizontal="center" vertical="center" wrapText="1"/>
      <protection locked="0"/>
    </xf>
    <xf numFmtId="0" fontId="49" fillId="0" borderId="10" xfId="1" applyFont="1" applyFill="1" applyBorder="1" applyAlignment="1" applyProtection="1">
      <alignment horizontal="center" vertical="center" wrapText="1"/>
      <protection locked="0"/>
    </xf>
    <xf numFmtId="0" fontId="49" fillId="0" borderId="10" xfId="4" applyFont="1" applyFill="1" applyBorder="1" applyAlignment="1">
      <alignment horizontal="center" vertical="center" wrapText="1"/>
    </xf>
    <xf numFmtId="0" fontId="49" fillId="0" borderId="10" xfId="4" applyFont="1" applyFill="1" applyBorder="1" applyAlignment="1">
      <alignment horizontal="left" vertical="center" wrapText="1"/>
    </xf>
    <xf numFmtId="0" fontId="49" fillId="0" borderId="10" xfId="4" applyFont="1" applyFill="1" applyBorder="1" applyAlignment="1">
      <alignment horizontal="center" vertical="center" wrapText="1"/>
    </xf>
    <xf numFmtId="0" fontId="49" fillId="0" borderId="10" xfId="5" applyFont="1" applyFill="1" applyBorder="1" applyAlignment="1">
      <alignment horizontal="center" vertical="center" wrapText="1"/>
    </xf>
    <xf numFmtId="0" fontId="54" fillId="0" borderId="10" xfId="4" applyFont="1" applyFill="1" applyBorder="1" applyAlignment="1">
      <alignment vertical="center" wrapText="1"/>
    </xf>
    <xf numFmtId="0" fontId="49" fillId="0" borderId="10" xfId="3" applyFont="1" applyFill="1" applyBorder="1" applyAlignment="1">
      <alignment horizontal="center" vertical="center" wrapText="1"/>
    </xf>
    <xf numFmtId="0" fontId="49" fillId="36" borderId="10" xfId="1" applyFont="1" applyFill="1" applyBorder="1" applyAlignment="1" applyProtection="1">
      <alignment horizontal="center" vertical="center" wrapText="1"/>
      <protection locked="0"/>
    </xf>
    <xf numFmtId="0" fontId="49" fillId="36" borderId="10" xfId="3" applyFont="1" applyFill="1" applyBorder="1" applyAlignment="1">
      <alignment vertical="center" wrapText="1"/>
    </xf>
    <xf numFmtId="0" fontId="49" fillId="36" borderId="10" xfId="4" applyFont="1" applyFill="1" applyBorder="1" applyAlignment="1">
      <alignment horizontal="left" vertical="center" wrapText="1"/>
    </xf>
    <xf numFmtId="0" fontId="49" fillId="36" borderId="10" xfId="3" applyFont="1" applyFill="1" applyBorder="1" applyAlignment="1">
      <alignment horizontal="center" vertical="center" wrapText="1"/>
    </xf>
    <xf numFmtId="0" fontId="49" fillId="37" borderId="10" xfId="5" applyFont="1" applyFill="1" applyBorder="1" applyAlignment="1">
      <alignment horizontal="center" vertical="center" wrapText="1"/>
    </xf>
    <xf numFmtId="0" fontId="49" fillId="37" borderId="10" xfId="5" applyFont="1" applyFill="1" applyBorder="1" applyAlignment="1" applyProtection="1">
      <alignment vertical="center" wrapText="1"/>
      <protection locked="0"/>
    </xf>
    <xf numFmtId="0" fontId="49" fillId="37" borderId="10" xfId="5" applyFont="1" applyFill="1" applyBorder="1" applyAlignment="1" applyProtection="1">
      <alignment horizontal="left" vertical="center" wrapText="1"/>
      <protection locked="0"/>
    </xf>
    <xf numFmtId="0" fontId="49" fillId="37" borderId="10" xfId="5" applyFont="1" applyFill="1" applyBorder="1" applyAlignment="1" applyProtection="1">
      <alignment horizontal="center" vertical="center" wrapText="1"/>
      <protection locked="0"/>
    </xf>
    <xf numFmtId="0" fontId="49" fillId="36" borderId="10" xfId="5" applyFont="1" applyFill="1" applyBorder="1" applyAlignment="1">
      <alignment horizontal="center" vertical="center" wrapText="1"/>
    </xf>
    <xf numFmtId="0" fontId="49" fillId="36" borderId="10" xfId="5" applyFont="1" applyFill="1" applyBorder="1" applyAlignment="1" applyProtection="1">
      <alignment vertical="center" wrapText="1"/>
      <protection locked="0"/>
    </xf>
    <xf numFmtId="0" fontId="49" fillId="36" borderId="10" xfId="5" applyFont="1" applyFill="1" applyBorder="1" applyAlignment="1" applyProtection="1">
      <alignment horizontal="left" vertical="center" wrapText="1"/>
      <protection locked="0"/>
    </xf>
    <xf numFmtId="0" fontId="49" fillId="36" borderId="10" xfId="0" applyFont="1" applyFill="1" applyBorder="1" applyAlignment="1">
      <alignment horizontal="center" vertical="center"/>
    </xf>
    <xf numFmtId="0" fontId="49" fillId="38" borderId="10" xfId="4" applyFont="1" applyFill="1" applyBorder="1" applyAlignment="1">
      <alignment horizontal="center" vertical="center" wrapText="1"/>
    </xf>
    <xf numFmtId="0" fontId="49" fillId="38" borderId="10" xfId="4" applyFont="1" applyFill="1" applyBorder="1" applyAlignment="1">
      <alignment vertical="center" wrapText="1"/>
    </xf>
    <xf numFmtId="0" fontId="49" fillId="38" borderId="10" xfId="1" applyFont="1" applyFill="1" applyBorder="1" applyAlignment="1">
      <alignment horizontal="left" vertical="center" wrapText="1"/>
    </xf>
    <xf numFmtId="0" fontId="49" fillId="38" borderId="10" xfId="3" applyFont="1" applyFill="1" applyBorder="1" applyAlignment="1">
      <alignment horizontal="center" vertical="center" wrapText="1"/>
    </xf>
    <xf numFmtId="0" fontId="49" fillId="35" borderId="20" xfId="2" applyFont="1" applyFill="1" applyBorder="1" applyAlignment="1">
      <alignment horizontal="center" vertical="center"/>
    </xf>
    <xf numFmtId="0" fontId="49" fillId="35" borderId="0" xfId="2" applyFont="1" applyFill="1" applyAlignment="1">
      <alignment horizontal="center" vertical="center"/>
    </xf>
    <xf numFmtId="0" fontId="55" fillId="34" borderId="20" xfId="2" applyFont="1" applyFill="1" applyBorder="1" applyAlignment="1">
      <alignment horizontal="center" vertical="center"/>
    </xf>
    <xf numFmtId="0" fontId="55" fillId="34" borderId="0" xfId="2" applyFont="1" applyFill="1" applyAlignment="1">
      <alignment horizontal="center" vertical="center"/>
    </xf>
    <xf numFmtId="0" fontId="49" fillId="0" borderId="10" xfId="5" applyNumberFormat="1" applyFont="1" applyFill="1" applyBorder="1" applyAlignment="1">
      <alignment horizontal="center" vertical="center" wrapText="1"/>
    </xf>
    <xf numFmtId="0" fontId="49" fillId="0" borderId="15" xfId="3" applyFont="1" applyFill="1" applyBorder="1" applyAlignment="1" applyProtection="1">
      <alignment horizontal="center" vertical="center" wrapText="1"/>
      <protection locked="0"/>
    </xf>
    <xf numFmtId="0" fontId="49" fillId="0" borderId="16" xfId="3" applyFont="1" applyFill="1" applyBorder="1" applyAlignment="1" applyProtection="1">
      <alignment horizontal="center" vertical="center" wrapText="1"/>
      <protection locked="0"/>
    </xf>
    <xf numFmtId="0" fontId="49" fillId="0" borderId="12" xfId="3" applyFont="1" applyFill="1" applyBorder="1" applyAlignment="1" applyProtection="1">
      <alignment horizontal="center" vertical="center" wrapText="1"/>
      <protection locked="0"/>
    </xf>
    <xf numFmtId="0" fontId="55" fillId="0" borderId="20" xfId="2" applyFont="1" applyFill="1" applyBorder="1" applyAlignment="1">
      <alignment horizontal="center" vertical="center"/>
    </xf>
    <xf numFmtId="0" fontId="55" fillId="0" borderId="0" xfId="2" applyFont="1" applyFill="1" applyAlignment="1">
      <alignment horizontal="center" vertical="center"/>
    </xf>
    <xf numFmtId="0" fontId="49" fillId="0" borderId="10" xfId="1" applyFont="1" applyFill="1" applyBorder="1" applyAlignment="1" applyProtection="1">
      <alignment horizontal="center" vertical="center" wrapText="1"/>
      <protection locked="0"/>
    </xf>
    <xf numFmtId="0" fontId="49" fillId="0" borderId="15" xfId="1" applyFont="1" applyFill="1" applyBorder="1" applyAlignment="1" applyProtection="1">
      <alignment horizontal="left" vertical="center" wrapText="1"/>
      <protection locked="0"/>
    </xf>
    <xf numFmtId="0" fontId="49" fillId="0" borderId="16" xfId="1" applyFont="1" applyFill="1" applyBorder="1" applyAlignment="1" applyProtection="1">
      <alignment horizontal="left" vertical="center" wrapText="1"/>
      <protection locked="0"/>
    </xf>
    <xf numFmtId="0" fontId="49" fillId="0" borderId="12" xfId="1" applyFont="1" applyFill="1" applyBorder="1" applyAlignment="1" applyProtection="1">
      <alignment horizontal="left" vertical="center" wrapText="1"/>
      <protection locked="0"/>
    </xf>
    <xf numFmtId="0" fontId="49" fillId="0" borderId="15" xfId="1" applyFont="1" applyFill="1" applyBorder="1" applyAlignment="1" applyProtection="1">
      <alignment horizontal="center" vertical="center" wrapText="1"/>
      <protection locked="0"/>
    </xf>
    <xf numFmtId="0" fontId="49" fillId="0" borderId="16" xfId="1" applyFont="1" applyFill="1" applyBorder="1" applyAlignment="1" applyProtection="1">
      <alignment horizontal="center" vertical="center" wrapText="1"/>
      <protection locked="0"/>
    </xf>
    <xf numFmtId="0" fontId="49" fillId="0" borderId="10" xfId="3" applyFont="1" applyFill="1" applyBorder="1" applyAlignment="1" applyProtection="1">
      <alignment horizontal="center" vertical="center" wrapText="1"/>
      <protection locked="0"/>
    </xf>
    <xf numFmtId="0" fontId="49" fillId="34" borderId="10" xfId="4" applyFont="1" applyFill="1" applyBorder="1" applyAlignment="1">
      <alignment horizontal="center" vertical="center" wrapText="1"/>
    </xf>
    <xf numFmtId="0" fontId="49" fillId="0" borderId="12" xfId="1" applyFont="1" applyFill="1" applyBorder="1" applyAlignment="1" applyProtection="1">
      <alignment horizontal="center" vertical="center" wrapText="1"/>
      <protection locked="0"/>
    </xf>
    <xf numFmtId="0" fontId="49" fillId="0" borderId="19" xfId="3" applyFont="1" applyFill="1" applyBorder="1" applyAlignment="1" applyProtection="1">
      <alignment horizontal="center" vertical="center" wrapText="1"/>
      <protection locked="0"/>
    </xf>
    <xf numFmtId="0" fontId="49" fillId="0" borderId="10" xfId="3" applyFont="1" applyFill="1" applyBorder="1" applyAlignment="1">
      <alignment horizontal="center" vertical="center" wrapText="1"/>
    </xf>
    <xf numFmtId="0" fontId="49" fillId="0" borderId="10" xfId="1" applyFont="1" applyFill="1" applyBorder="1" applyAlignment="1" applyProtection="1">
      <alignment horizontal="left" vertical="center" wrapText="1"/>
      <protection locked="0"/>
    </xf>
    <xf numFmtId="0" fontId="49" fillId="0" borderId="10" xfId="5" applyFont="1" applyFill="1" applyBorder="1" applyAlignment="1" applyProtection="1">
      <alignment horizontal="left" vertical="center" wrapText="1"/>
      <protection locked="0"/>
    </xf>
    <xf numFmtId="0" fontId="49" fillId="0" borderId="10" xfId="5" applyFont="1" applyFill="1" applyBorder="1" applyAlignment="1" applyProtection="1">
      <alignment horizontal="center" vertical="center" wrapText="1"/>
      <protection locked="0"/>
    </xf>
    <xf numFmtId="0" fontId="49" fillId="34" borderId="15" xfId="1" applyFont="1" applyFill="1" applyBorder="1" applyAlignment="1" applyProtection="1">
      <alignment horizontal="center" vertical="center" wrapText="1"/>
      <protection locked="0"/>
    </xf>
    <xf numFmtId="0" fontId="49" fillId="34" borderId="16" xfId="1" applyFont="1" applyFill="1" applyBorder="1" applyAlignment="1" applyProtection="1">
      <alignment horizontal="center" vertical="center" wrapText="1"/>
      <protection locked="0"/>
    </xf>
    <xf numFmtId="0" fontId="49" fillId="0" borderId="10" xfId="1" applyFont="1" applyFill="1" applyBorder="1" applyAlignment="1">
      <alignment horizontal="center" vertical="center" wrapText="1"/>
    </xf>
    <xf numFmtId="0" fontId="49" fillId="0" borderId="15" xfId="1" applyFont="1" applyFill="1" applyBorder="1" applyAlignment="1">
      <alignment horizontal="center" vertical="center" wrapText="1"/>
    </xf>
    <xf numFmtId="0" fontId="49" fillId="0" borderId="16" xfId="1" applyFont="1" applyFill="1" applyBorder="1" applyAlignment="1">
      <alignment horizontal="center" vertical="center" wrapText="1"/>
    </xf>
    <xf numFmtId="0" fontId="49" fillId="0" borderId="12" xfId="1" applyFont="1" applyFill="1" applyBorder="1" applyAlignment="1">
      <alignment horizontal="center" vertical="center" wrapText="1"/>
    </xf>
    <xf numFmtId="0" fontId="49" fillId="34" borderId="10" xfId="5" applyFont="1" applyFill="1" applyBorder="1" applyAlignment="1">
      <alignment horizontal="center" vertical="center" wrapText="1"/>
    </xf>
    <xf numFmtId="0" fontId="49" fillId="0" borderId="10" xfId="5" applyFont="1" applyFill="1" applyBorder="1" applyAlignment="1">
      <alignment horizontal="center" vertical="center" wrapText="1"/>
    </xf>
    <xf numFmtId="0" fontId="49" fillId="34" borderId="10" xfId="3" applyFont="1" applyFill="1" applyBorder="1" applyAlignment="1" applyProtection="1">
      <alignment horizontal="center" vertical="center" wrapText="1"/>
      <protection locked="0"/>
    </xf>
    <xf numFmtId="0" fontId="49" fillId="34" borderId="12" xfId="1" applyFont="1" applyFill="1" applyBorder="1" applyAlignment="1" applyProtection="1">
      <alignment horizontal="center" vertical="center" wrapText="1"/>
      <protection locked="0"/>
    </xf>
    <xf numFmtId="0" fontId="49" fillId="0" borderId="10" xfId="4" applyFont="1" applyFill="1" applyBorder="1" applyAlignment="1">
      <alignment horizontal="center" vertical="center" wrapText="1"/>
    </xf>
    <xf numFmtId="0" fontId="49" fillId="34" borderId="15" xfId="4" applyFont="1" applyFill="1" applyBorder="1" applyAlignment="1">
      <alignment horizontal="center" vertical="center" wrapText="1"/>
    </xf>
    <xf numFmtId="0" fontId="49" fillId="34" borderId="12" xfId="4" applyFont="1" applyFill="1" applyBorder="1" applyAlignment="1">
      <alignment horizontal="center" vertical="center" wrapText="1"/>
    </xf>
    <xf numFmtId="0" fontId="54" fillId="0" borderId="15" xfId="1" applyFont="1" applyFill="1" applyBorder="1" applyAlignment="1" applyProtection="1">
      <alignment horizontal="center" vertical="center" wrapText="1"/>
      <protection locked="0"/>
    </xf>
    <xf numFmtId="0" fontId="54" fillId="0" borderId="12" xfId="1" applyFont="1" applyFill="1" applyBorder="1" applyAlignment="1" applyProtection="1">
      <alignment horizontal="center" vertical="center" wrapText="1"/>
      <protection locked="0"/>
    </xf>
    <xf numFmtId="0" fontId="49" fillId="34" borderId="10" xfId="3" applyFont="1" applyFill="1" applyBorder="1" applyAlignment="1">
      <alignment horizontal="center" vertical="center" wrapText="1"/>
    </xf>
    <xf numFmtId="0" fontId="49" fillId="34" borderId="10" xfId="1" applyFont="1" applyFill="1" applyBorder="1" applyAlignment="1" applyProtection="1">
      <alignment horizontal="center" vertical="center" wrapText="1"/>
      <protection locked="0"/>
    </xf>
    <xf numFmtId="0" fontId="50" fillId="0" borderId="10" xfId="1" applyFont="1" applyFill="1" applyBorder="1" applyAlignment="1" applyProtection="1">
      <alignment horizontal="center" vertical="center" wrapText="1"/>
      <protection locked="0"/>
    </xf>
    <xf numFmtId="0" fontId="49" fillId="34" borderId="10" xfId="1" applyFont="1" applyFill="1" applyBorder="1" applyAlignment="1">
      <alignment horizontal="center" vertical="center" wrapText="1"/>
    </xf>
    <xf numFmtId="0" fontId="49" fillId="34" borderId="15" xfId="3" applyFont="1" applyFill="1" applyBorder="1" applyAlignment="1" applyProtection="1">
      <alignment horizontal="center" vertical="center" wrapText="1"/>
      <protection locked="0"/>
    </xf>
    <xf numFmtId="0" fontId="49" fillId="34" borderId="16" xfId="3" applyFont="1" applyFill="1" applyBorder="1" applyAlignment="1" applyProtection="1">
      <alignment horizontal="center" vertical="center" wrapText="1"/>
      <protection locked="0"/>
    </xf>
    <xf numFmtId="0" fontId="54" fillId="0" borderId="10" xfId="3" applyFont="1" applyFill="1" applyBorder="1" applyAlignment="1" applyProtection="1">
      <alignment horizontal="center" vertical="center" wrapText="1"/>
      <protection locked="0"/>
    </xf>
    <xf numFmtId="0" fontId="49" fillId="34" borderId="12" xfId="3" applyFont="1" applyFill="1" applyBorder="1" applyAlignment="1" applyProtection="1">
      <alignment horizontal="center" vertical="center" wrapText="1"/>
      <protection locked="0"/>
    </xf>
    <xf numFmtId="0" fontId="54" fillId="0" borderId="15" xfId="1" applyFont="1" applyFill="1" applyBorder="1" applyAlignment="1" applyProtection="1">
      <alignment horizontal="left" vertical="center" wrapText="1"/>
      <protection locked="0"/>
    </xf>
    <xf numFmtId="0" fontId="54" fillId="0" borderId="16" xfId="1" applyFont="1" applyFill="1" applyBorder="1" applyAlignment="1" applyProtection="1">
      <alignment horizontal="left" vertical="center" wrapText="1"/>
      <protection locked="0"/>
    </xf>
    <xf numFmtId="0" fontId="54" fillId="0" borderId="12" xfId="1" applyFont="1" applyFill="1" applyBorder="1" applyAlignment="1" applyProtection="1">
      <alignment horizontal="left" vertical="center" wrapText="1"/>
      <protection locked="0"/>
    </xf>
    <xf numFmtId="0" fontId="49" fillId="34" borderId="15" xfId="5" applyNumberFormat="1" applyFont="1" applyFill="1" applyBorder="1" applyAlignment="1">
      <alignment horizontal="center" vertical="center" wrapText="1"/>
    </xf>
    <xf numFmtId="0" fontId="49" fillId="34" borderId="12" xfId="5" applyNumberFormat="1" applyFont="1" applyFill="1" applyBorder="1" applyAlignment="1">
      <alignment horizontal="center" vertical="center" wrapText="1"/>
    </xf>
    <xf numFmtId="0" fontId="49" fillId="0" borderId="15" xfId="5" applyNumberFormat="1" applyFont="1" applyFill="1" applyBorder="1" applyAlignment="1">
      <alignment horizontal="center" vertical="center" wrapText="1"/>
    </xf>
    <xf numFmtId="0" fontId="49" fillId="0" borderId="12" xfId="5" applyNumberFormat="1" applyFont="1" applyFill="1" applyBorder="1" applyAlignment="1">
      <alignment horizontal="center" vertical="center" wrapText="1"/>
    </xf>
    <xf numFmtId="0" fontId="49" fillId="0" borderId="15" xfId="3" applyFont="1" applyFill="1" applyBorder="1" applyAlignment="1">
      <alignment horizontal="center" vertical="center" wrapText="1"/>
    </xf>
    <xf numFmtId="0" fontId="49" fillId="0" borderId="12" xfId="3" applyFont="1" applyFill="1" applyBorder="1" applyAlignment="1">
      <alignment horizontal="center" vertical="center" wrapText="1"/>
    </xf>
    <xf numFmtId="0" fontId="49" fillId="34" borderId="10" xfId="1" applyFont="1" applyFill="1" applyBorder="1" applyAlignment="1" applyProtection="1">
      <alignment horizontal="left" vertical="center" wrapText="1"/>
      <protection locked="0"/>
    </xf>
    <xf numFmtId="0" fontId="49" fillId="34" borderId="15" xfId="1" applyFont="1" applyFill="1" applyBorder="1" applyAlignment="1" applyProtection="1">
      <alignment horizontal="left" vertical="center" wrapText="1"/>
      <protection locked="0"/>
    </xf>
    <xf numFmtId="0" fontId="49" fillId="34" borderId="12" xfId="1" applyFont="1" applyFill="1" applyBorder="1" applyAlignment="1" applyProtection="1">
      <alignment horizontal="left" vertical="center" wrapText="1"/>
      <protection locked="0"/>
    </xf>
    <xf numFmtId="0" fontId="49" fillId="34" borderId="10" xfId="1" applyFont="1" applyFill="1" applyBorder="1" applyAlignment="1" applyProtection="1">
      <alignment vertical="center" wrapText="1"/>
      <protection locked="0"/>
    </xf>
    <xf numFmtId="49" fontId="49" fillId="34" borderId="10" xfId="8" applyNumberFormat="1" applyFont="1" applyFill="1" applyBorder="1" applyAlignment="1">
      <alignment horizontal="center" vertical="center" wrapText="1" shrinkToFit="1"/>
    </xf>
    <xf numFmtId="0" fontId="49" fillId="0" borderId="10" xfId="2" applyFont="1" applyFill="1" applyBorder="1" applyAlignment="1">
      <alignment horizontal="center" vertical="center"/>
    </xf>
    <xf numFmtId="0" fontId="49" fillId="0" borderId="15" xfId="1" applyFont="1" applyFill="1" applyBorder="1" applyAlignment="1" applyProtection="1">
      <alignment vertical="center" wrapText="1"/>
      <protection locked="0"/>
    </xf>
    <xf numFmtId="0" fontId="49" fillId="0" borderId="12" xfId="1" applyFont="1" applyFill="1" applyBorder="1" applyAlignment="1" applyProtection="1">
      <alignment vertical="center" wrapText="1"/>
      <protection locked="0"/>
    </xf>
    <xf numFmtId="49" fontId="49" fillId="0" borderId="15" xfId="8" applyNumberFormat="1" applyFont="1" applyFill="1" applyBorder="1" applyAlignment="1">
      <alignment horizontal="center" vertical="center" wrapText="1" shrinkToFit="1"/>
    </xf>
    <xf numFmtId="49" fontId="49" fillId="0" borderId="12" xfId="8" applyNumberFormat="1" applyFont="1" applyFill="1" applyBorder="1" applyAlignment="1">
      <alignment horizontal="center" vertical="center" wrapText="1" shrinkToFit="1"/>
    </xf>
    <xf numFmtId="0" fontId="49" fillId="0" borderId="10" xfId="1" applyFont="1" applyFill="1" applyBorder="1" applyAlignment="1" applyProtection="1">
      <alignment vertical="center" wrapText="1"/>
      <protection locked="0"/>
    </xf>
    <xf numFmtId="0" fontId="49" fillId="0" borderId="15" xfId="2" applyFont="1" applyFill="1" applyBorder="1" applyAlignment="1">
      <alignment horizontal="left" vertical="center" wrapText="1"/>
    </xf>
    <xf numFmtId="0" fontId="49" fillId="0" borderId="16" xfId="2" applyFont="1" applyFill="1" applyBorder="1" applyAlignment="1">
      <alignment horizontal="left" vertical="center" wrapText="1"/>
    </xf>
    <xf numFmtId="0" fontId="49" fillId="0" borderId="12" xfId="2" applyFont="1" applyFill="1" applyBorder="1" applyAlignment="1">
      <alignment horizontal="left" vertical="center" wrapText="1"/>
    </xf>
    <xf numFmtId="0" fontId="49" fillId="0" borderId="15" xfId="0" applyFont="1" applyFill="1" applyBorder="1" applyAlignment="1">
      <alignment vertical="center" wrapText="1"/>
    </xf>
    <xf numFmtId="0" fontId="49" fillId="0" borderId="16" xfId="0" applyFont="1" applyFill="1" applyBorder="1" applyAlignment="1">
      <alignment vertical="center" wrapText="1"/>
    </xf>
    <xf numFmtId="0" fontId="49" fillId="0" borderId="12" xfId="0" applyFont="1" applyFill="1" applyBorder="1" applyAlignment="1">
      <alignment vertical="center" wrapText="1"/>
    </xf>
    <xf numFmtId="0" fontId="49" fillId="0" borderId="15" xfId="5" applyFont="1" applyFill="1" applyBorder="1" applyAlignment="1">
      <alignment horizontal="center" vertical="center" wrapText="1"/>
    </xf>
    <xf numFmtId="0" fontId="49" fillId="0" borderId="12" xfId="5" applyFont="1" applyFill="1" applyBorder="1" applyAlignment="1">
      <alignment horizontal="center" vertical="center" wrapText="1"/>
    </xf>
    <xf numFmtId="0" fontId="49" fillId="0" borderId="15" xfId="5" applyFont="1" applyFill="1" applyBorder="1" applyAlignment="1" applyProtection="1">
      <alignment horizontal="left" vertical="center" wrapText="1"/>
      <protection locked="0"/>
    </xf>
    <xf numFmtId="0" fontId="49" fillId="0" borderId="12" xfId="5" applyFont="1" applyFill="1" applyBorder="1" applyAlignment="1" applyProtection="1">
      <alignment horizontal="left" vertical="center" wrapText="1"/>
      <protection locked="0"/>
    </xf>
    <xf numFmtId="0" fontId="49" fillId="34" borderId="15" xfId="5" applyFont="1" applyFill="1" applyBorder="1" applyAlignment="1">
      <alignment horizontal="center" vertical="center" wrapText="1"/>
    </xf>
    <xf numFmtId="0" fontId="49" fillId="34" borderId="12" xfId="5" applyFont="1" applyFill="1" applyBorder="1" applyAlignment="1">
      <alignment horizontal="center" vertical="center" wrapText="1"/>
    </xf>
    <xf numFmtId="0" fontId="49" fillId="34" borderId="10" xfId="5" applyNumberFormat="1" applyFont="1" applyFill="1" applyBorder="1" applyAlignment="1">
      <alignment horizontal="center" vertical="center" wrapText="1"/>
    </xf>
    <xf numFmtId="0" fontId="54" fillId="34" borderId="15" xfId="1" applyFont="1" applyFill="1" applyBorder="1" applyAlignment="1" applyProtection="1">
      <alignment horizontal="center" vertical="center" wrapText="1"/>
      <protection locked="0"/>
    </xf>
    <xf numFmtId="0" fontId="54" fillId="34" borderId="12" xfId="1" applyFont="1" applyFill="1" applyBorder="1" applyAlignment="1" applyProtection="1">
      <alignment horizontal="center" vertical="center" wrapText="1"/>
      <protection locked="0"/>
    </xf>
    <xf numFmtId="0" fontId="54" fillId="34" borderId="15" xfId="3" applyFont="1" applyFill="1" applyBorder="1" applyAlignment="1" applyProtection="1">
      <alignment horizontal="center" vertical="center" wrapText="1"/>
      <protection locked="0"/>
    </xf>
    <xf numFmtId="0" fontId="54" fillId="34" borderId="16" xfId="3" applyFont="1" applyFill="1" applyBorder="1" applyAlignment="1" applyProtection="1">
      <alignment horizontal="center" vertical="center" wrapText="1"/>
      <protection locked="0"/>
    </xf>
    <xf numFmtId="0" fontId="54" fillId="0" borderId="10" xfId="1" applyFont="1" applyFill="1" applyBorder="1" applyAlignment="1">
      <alignment horizontal="center" vertical="center" wrapText="1"/>
    </xf>
    <xf numFmtId="0" fontId="54" fillId="34" borderId="15" xfId="5" applyNumberFormat="1" applyFont="1" applyFill="1" applyBorder="1" applyAlignment="1">
      <alignment horizontal="center" vertical="center" wrapText="1"/>
    </xf>
    <xf numFmtId="0" fontId="54" fillId="34" borderId="12" xfId="5" applyNumberFormat="1" applyFont="1" applyFill="1" applyBorder="1" applyAlignment="1">
      <alignment horizontal="center" vertical="center" wrapText="1"/>
    </xf>
    <xf numFmtId="0" fontId="54" fillId="34" borderId="15" xfId="1" applyFont="1" applyFill="1" applyBorder="1" applyAlignment="1" applyProtection="1">
      <alignment horizontal="left" vertical="center" wrapText="1"/>
      <protection locked="0"/>
    </xf>
    <xf numFmtId="0" fontId="54" fillId="34" borderId="16" xfId="1" applyFont="1" applyFill="1" applyBorder="1" applyAlignment="1" applyProtection="1">
      <alignment horizontal="left" vertical="center" wrapText="1"/>
      <protection locked="0"/>
    </xf>
    <xf numFmtId="0" fontId="54" fillId="0" borderId="10" xfId="3" applyFont="1" applyFill="1" applyBorder="1" applyAlignment="1">
      <alignment horizontal="center" vertical="center" wrapText="1"/>
    </xf>
    <xf numFmtId="185" fontId="49" fillId="0" borderId="10" xfId="4" applyNumberFormat="1" applyFont="1" applyFill="1" applyBorder="1" applyAlignment="1">
      <alignment horizontal="center" vertical="center" wrapText="1"/>
    </xf>
    <xf numFmtId="0" fontId="49" fillId="34" borderId="16" xfId="1" applyFont="1" applyFill="1" applyBorder="1" applyAlignment="1" applyProtection="1">
      <alignment horizontal="left" vertical="center" wrapText="1"/>
      <protection locked="0"/>
    </xf>
    <xf numFmtId="0" fontId="49" fillId="0" borderId="10" xfId="4" applyFont="1" applyFill="1" applyBorder="1" applyAlignment="1">
      <alignment horizontal="left" vertical="center" wrapText="1"/>
    </xf>
    <xf numFmtId="185" fontId="54" fillId="0" borderId="10" xfId="4" applyNumberFormat="1" applyFont="1" applyFill="1" applyBorder="1" applyAlignment="1">
      <alignment horizontal="center" vertical="center" wrapText="1"/>
    </xf>
    <xf numFmtId="185" fontId="49" fillId="0" borderId="10" xfId="1" applyNumberFormat="1" applyFont="1" applyFill="1" applyBorder="1" applyAlignment="1" applyProtection="1">
      <alignment horizontal="center" vertical="center" wrapText="1"/>
      <protection locked="0"/>
    </xf>
    <xf numFmtId="0" fontId="49" fillId="0" borderId="10" xfId="5" quotePrefix="1" applyNumberFormat="1" applyFont="1" applyFill="1" applyBorder="1" applyAlignment="1" applyProtection="1">
      <alignment horizontal="left" vertical="center" wrapText="1"/>
      <protection locked="0"/>
    </xf>
    <xf numFmtId="0" fontId="49" fillId="0" borderId="10" xfId="5" applyNumberFormat="1" applyFont="1" applyFill="1" applyBorder="1" applyAlignment="1" applyProtection="1">
      <alignment horizontal="left" vertical="center" wrapText="1"/>
      <protection locked="0"/>
    </xf>
    <xf numFmtId="0" fontId="49" fillId="0" borderId="10" xfId="5" applyNumberFormat="1" applyFont="1" applyFill="1" applyBorder="1" applyAlignment="1">
      <alignment horizontal="left" vertical="center" wrapText="1"/>
    </xf>
    <xf numFmtId="0" fontId="49" fillId="34" borderId="15" xfId="1" applyFont="1" applyFill="1" applyBorder="1" applyAlignment="1">
      <alignment horizontal="center" vertical="center" wrapText="1"/>
    </xf>
    <xf numFmtId="0" fontId="49" fillId="34" borderId="12" xfId="1" applyFont="1" applyFill="1" applyBorder="1" applyAlignment="1">
      <alignment horizontal="center" vertical="center" wrapText="1"/>
    </xf>
    <xf numFmtId="185" fontId="49" fillId="0" borderId="15" xfId="4" applyNumberFormat="1" applyFont="1" applyFill="1" applyBorder="1" applyAlignment="1">
      <alignment horizontal="center" vertical="center" wrapText="1"/>
    </xf>
    <xf numFmtId="185" fontId="49" fillId="0" borderId="12" xfId="4" applyNumberFormat="1" applyFont="1" applyFill="1" applyBorder="1" applyAlignment="1">
      <alignment horizontal="center" vertical="center" wrapText="1"/>
    </xf>
    <xf numFmtId="0" fontId="49" fillId="0" borderId="15" xfId="4" applyFont="1" applyFill="1" applyBorder="1" applyAlignment="1">
      <alignment horizontal="center" vertical="center" wrapText="1"/>
    </xf>
    <xf numFmtId="0" fontId="49" fillId="0" borderId="12" xfId="4" applyFont="1" applyFill="1" applyBorder="1" applyAlignment="1">
      <alignment horizontal="center" vertical="center" wrapText="1"/>
    </xf>
    <xf numFmtId="0" fontId="49" fillId="34" borderId="15" xfId="1" applyFont="1" applyFill="1" applyBorder="1" applyAlignment="1" applyProtection="1">
      <alignment vertical="center" wrapText="1"/>
      <protection locked="0"/>
    </xf>
    <xf numFmtId="0" fontId="49" fillId="34" borderId="12" xfId="1" applyFont="1" applyFill="1" applyBorder="1" applyAlignment="1" applyProtection="1">
      <alignment vertical="center" wrapText="1"/>
      <protection locked="0"/>
    </xf>
    <xf numFmtId="0" fontId="54" fillId="34" borderId="15" xfId="1" applyFont="1" applyFill="1" applyBorder="1" applyAlignment="1">
      <alignment horizontal="center" vertical="center" wrapText="1"/>
    </xf>
    <xf numFmtId="0" fontId="54" fillId="34" borderId="16" xfId="1" applyFont="1" applyFill="1" applyBorder="1" applyAlignment="1">
      <alignment horizontal="center" vertical="center" wrapText="1"/>
    </xf>
    <xf numFmtId="0" fontId="49" fillId="0" borderId="10" xfId="2" applyFont="1" applyFill="1" applyBorder="1" applyAlignment="1">
      <alignment horizontal="left" vertical="center" wrapText="1"/>
    </xf>
  </cellXfs>
  <cellStyles count="207">
    <cellStyle name="??" xfId="10"/>
    <cellStyle name="??&amp;O?&amp;H?" xfId="11"/>
    <cellStyle name="??&amp;O?&amp;H?_x0008__x000f__x0007_?_x0007__x0001__x0001_" xfId="12"/>
    <cellStyle name="??&amp;O?&amp;H?_x0008_??_x0007__x0001__x0001_" xfId="13"/>
    <cellStyle name="_01경영종합보고" xfId="14"/>
    <cellStyle name="_02경영종합보고" xfId="15"/>
    <cellStyle name="_02경영종합보고(진짜내부)" xfId="16"/>
    <cellStyle name="_02경영종합보고_1" xfId="17"/>
    <cellStyle name="_02내부03" xfId="18"/>
    <cellStyle name="_07년 IP-40 신규 PL_63342" xfId="19"/>
    <cellStyle name="_2천종합" xfId="20"/>
    <cellStyle name="_3점정합성_신규승인용(46_std)" xfId="21"/>
    <cellStyle name="_40_CCFL_HISENSE 제품사양서(070420)" xfId="22"/>
    <cellStyle name="_40_VE(0701001)_REV03_동관 샘플 제작용" xfId="23"/>
    <cellStyle name="_40_VE(0701001)_REV03_동관 샘플 제작용_3" xfId="24"/>
    <cellStyle name="_40inch_HISENSE_1608_CCFL" xfId="25"/>
    <cellStyle name="_46_VE_REV_07(071009)최종" xfId="26"/>
    <cellStyle name="_65LFD 제품사양서_20091021_R.C_승인용" xfId="27"/>
    <cellStyle name="_BN44-00135A 제품승인원" xfId="28"/>
    <cellStyle name="_Hanaro2_40_FHD_ 제품사양서_R.C_1.8_090318" xfId="29"/>
    <cellStyle name="_HANARO32_제품사양서_20080918" xfId="30"/>
    <cellStyle name="_IP-40 Std. 제품사양서_REV0.2_061205" xfId="31"/>
    <cellStyle name="_IP-40 Std.(16L) 제품사양서(INV.)_REV0.2_061121" xfId="32"/>
    <cellStyle name="_IP-40 Std.(16L) 제품사양서_REV0.2_061121" xfId="33"/>
    <cellStyle name="_IP-40 Std.제품사양서(20070108)" xfId="34"/>
    <cellStyle name="_IP-40 Std.제품사양서(20070117)" xfId="35"/>
    <cellStyle name="_IP-40_16Lamp_제품사양서_REV_0.1(061014)" xfId="36"/>
    <cellStyle name="_IP-40_BORDEAUX_CCFL_제품사양서_060330_REV0.2_41184" xfId="37"/>
    <cellStyle name="_IP-40_MOSEL_CCFL_060323_전자승인용" xfId="38"/>
    <cellStyle name="_IP-40_MOSEL_CCFL_060403_전자승인용" xfId="39"/>
    <cellStyle name="_IP-40_Neo Mosel_070323_제품사양서_REV_D" xfId="40"/>
    <cellStyle name="_IP-40_VE_16Lamp_제품사양서_REV_0.1(061116)" xfId="41"/>
    <cellStyle name="_IP-40VE 제품사양서R.8_080509" xfId="42"/>
    <cellStyle name="_IP-46 STD. 제출사양서(070102)" xfId="43"/>
    <cellStyle name="_IP-46 Std. 제품사양서_REV0.3_070108" xfId="44"/>
    <cellStyle name="_IP-46_MOSEL_CCFL_POWER_PL_060530" xfId="45"/>
    <cellStyle name="_IP-46_MOSEL_CCFL_재료비 06.5.8" xfId="46"/>
    <cellStyle name="_MK32P5B_제품사양서(TVS Margin 개선) REV 1.2_20080510" xfId="47"/>
    <cellStyle name="_Sheet4" xfId="48"/>
    <cellStyle name="_slim40inverterPL_70810" xfId="49"/>
    <cellStyle name="_ULTIMATE_060125(전자승인용)_C207_1NF" xfId="50"/>
    <cellStyle name="_년도별본부capa" xfId="51"/>
    <cellStyle name="_종합보고" xfId="52"/>
    <cellStyle name="_투자자산03" xfId="53"/>
    <cellStyle name="20% - 강조색1 2" xfId="54"/>
    <cellStyle name="20% - 강조색1 3" xfId="55"/>
    <cellStyle name="20% - 강조색2 2" xfId="56"/>
    <cellStyle name="20% - 강조색2 3" xfId="57"/>
    <cellStyle name="20% - 강조색3 2" xfId="58"/>
    <cellStyle name="20% - 강조색3 3" xfId="59"/>
    <cellStyle name="20% - 강조색4 2" xfId="60"/>
    <cellStyle name="20% - 강조색4 3" xfId="61"/>
    <cellStyle name="20% - 강조색5 2" xfId="62"/>
    <cellStyle name="20% - 강조색5 3" xfId="63"/>
    <cellStyle name="20% - 강조색6 2" xfId="64"/>
    <cellStyle name="20% - 강조색6 3" xfId="65"/>
    <cellStyle name="40% - 강조색1 2" xfId="66"/>
    <cellStyle name="40% - 강조색1 3" xfId="67"/>
    <cellStyle name="40% - 강조색2 2" xfId="68"/>
    <cellStyle name="40% - 강조색2 3" xfId="69"/>
    <cellStyle name="40% - 강조색3 2" xfId="70"/>
    <cellStyle name="40% - 강조색3 3" xfId="71"/>
    <cellStyle name="40% - 강조색4 2" xfId="72"/>
    <cellStyle name="40% - 강조색4 3" xfId="73"/>
    <cellStyle name="40% - 강조색5 2" xfId="74"/>
    <cellStyle name="40% - 강조색5 3" xfId="75"/>
    <cellStyle name="40% - 강조색6 2" xfId="76"/>
    <cellStyle name="40% - 강조색6 3" xfId="77"/>
    <cellStyle name="60% - 강조색1 2" xfId="78"/>
    <cellStyle name="60% - 강조색1 3" xfId="79"/>
    <cellStyle name="60% - 강조색2 2" xfId="80"/>
    <cellStyle name="60% - 강조색2 3" xfId="81"/>
    <cellStyle name="60% - 강조색3 2" xfId="82"/>
    <cellStyle name="60% - 강조색3 3" xfId="83"/>
    <cellStyle name="60% - 강조색4 2" xfId="84"/>
    <cellStyle name="60% - 강조색4 3" xfId="85"/>
    <cellStyle name="60% - 강조색5 2" xfId="86"/>
    <cellStyle name="60% - 강조색5 3" xfId="87"/>
    <cellStyle name="60% - 강조색6 2" xfId="88"/>
    <cellStyle name="60% - 강조색6 3" xfId="89"/>
    <cellStyle name="AeE­ [0]_°u¸RC×¸n_¾÷A¾º° " xfId="90"/>
    <cellStyle name="AeE­_°u¸RC×¸n_¾÷A¾º° " xfId="91"/>
    <cellStyle name="args.style" xfId="92"/>
    <cellStyle name="AÞ¸¶ [0]_°u¸RC×¸n_¾÷A¾º° " xfId="93"/>
    <cellStyle name="AÞ¸¶_°u¸RC×¸n_¾÷A¾º° " xfId="94"/>
    <cellStyle name="C￥AØ_°u¸RC×¸n_¾÷A¾º° " xfId="95"/>
    <cellStyle name="Ç¥ÁØ_SUWON_1" xfId="96"/>
    <cellStyle name="Calc Currency (0)" xfId="97"/>
    <cellStyle name="category" xfId="98"/>
    <cellStyle name="Comma [0]_0818" xfId="99"/>
    <cellStyle name="Comma_제조1부1과 현황 " xfId="100"/>
    <cellStyle name="Copied" xfId="101"/>
    <cellStyle name="COST1" xfId="102"/>
    <cellStyle name="Currency [0]_제조1부1과 현황 " xfId="103"/>
    <cellStyle name="Currency_제조1부1과 현황 " xfId="104"/>
    <cellStyle name="Entered" xfId="105"/>
    <cellStyle name="Grey" xfId="106"/>
    <cellStyle name="HEADER" xfId="107"/>
    <cellStyle name="Header1" xfId="108"/>
    <cellStyle name="Header2" xfId="109"/>
    <cellStyle name="Input [yellow]" xfId="110"/>
    <cellStyle name="Model" xfId="111"/>
    <cellStyle name="Normal - Style1" xfId="112"/>
    <cellStyle name="Normal_&quot;CANCEL&quot; Volume Detail " xfId="113"/>
    <cellStyle name="Percent [2]" xfId="114"/>
    <cellStyle name="subhead" xfId="115"/>
    <cellStyle name="þ_x001d_ð'&amp;Oy?Hy9_x0008__x000f__x0007_æ_x0007__x0007__x0001__x0001_" xfId="116"/>
    <cellStyle name="þ_x001d_ð'&amp;Oy?Hy9_x0008__x000f__x0007_æ_x0007__x0007__x0001__x0001_ 2" xfId="117"/>
    <cellStyle name="เครื่องหมายสกุลเงิน [0]_gopret" xfId="118"/>
    <cellStyle name="เครื่องหมายสกุลเงิน_gopret" xfId="119"/>
    <cellStyle name="ปกติ_gopret" xfId="120"/>
    <cellStyle name="강조색1 2" xfId="121"/>
    <cellStyle name="강조색1 3" xfId="122"/>
    <cellStyle name="강조색2 2" xfId="123"/>
    <cellStyle name="강조색2 3" xfId="124"/>
    <cellStyle name="강조색3 2" xfId="125"/>
    <cellStyle name="강조색3 3" xfId="126"/>
    <cellStyle name="강조색4 2" xfId="127"/>
    <cellStyle name="강조색4 3" xfId="128"/>
    <cellStyle name="강조색5 2" xfId="129"/>
    <cellStyle name="강조색5 3" xfId="130"/>
    <cellStyle name="강조색6 2" xfId="131"/>
    <cellStyle name="강조색6 3" xfId="132"/>
    <cellStyle name="경고문 2" xfId="133"/>
    <cellStyle name="경고문 3" xfId="134"/>
    <cellStyle name="계산 2" xfId="135"/>
    <cellStyle name="계산 3" xfId="136"/>
    <cellStyle name="咬訌裝?report-2 " xfId="137"/>
    <cellStyle name="나쁨 2" xfId="138"/>
    <cellStyle name="나쁨 3" xfId="139"/>
    <cellStyle name="메모 2" xfId="140"/>
    <cellStyle name="메모 2 2" xfId="141"/>
    <cellStyle name="메모 3" xfId="142"/>
    <cellStyle name="메모 3 2" xfId="143"/>
    <cellStyle name="메모 4" xfId="144"/>
    <cellStyle name="메모 4 2" xfId="145"/>
    <cellStyle name="메모 5" xfId="146"/>
    <cellStyle name="메모 5 2" xfId="147"/>
    <cellStyle name="백분율 2" xfId="148"/>
    <cellStyle name="백분율 3" xfId="149"/>
    <cellStyle name="보통 2" xfId="150"/>
    <cellStyle name="보통 3" xfId="151"/>
    <cellStyle name="常规_DLP_MAIN(060112)_PV2" xfId="152"/>
    <cellStyle name="설명 텍스트 2" xfId="153"/>
    <cellStyle name="설명 텍스트 3" xfId="154"/>
    <cellStyle name="셀 확인 2" xfId="155"/>
    <cellStyle name="셀 확인 3" xfId="156"/>
    <cellStyle name="스타일 1" xfId="5"/>
    <cellStyle name="스타일 1 2" xfId="157"/>
    <cellStyle name="스타일 2" xfId="158"/>
    <cellStyle name="스타일 3" xfId="159"/>
    <cellStyle name="스타일 4" xfId="160"/>
    <cellStyle name="연결된 셀 2" xfId="161"/>
    <cellStyle name="연결된 셀 3" xfId="162"/>
    <cellStyle name="요약 2" xfId="163"/>
    <cellStyle name="요약 3" xfId="164"/>
    <cellStyle name="입력 2" xfId="165"/>
    <cellStyle name="입력 3" xfId="166"/>
    <cellStyle name="제목 1 2" xfId="167"/>
    <cellStyle name="제목 1 3" xfId="168"/>
    <cellStyle name="제목 2 2" xfId="169"/>
    <cellStyle name="제목 2 3" xfId="170"/>
    <cellStyle name="제목 3 2" xfId="171"/>
    <cellStyle name="제목 3 3" xfId="172"/>
    <cellStyle name="제목 4 2" xfId="173"/>
    <cellStyle name="제목 4 3" xfId="174"/>
    <cellStyle name="제목 5" xfId="175"/>
    <cellStyle name="제목 6" xfId="176"/>
    <cellStyle name="좋음 2" xfId="177"/>
    <cellStyle name="좋음 3" xfId="178"/>
    <cellStyle name="출력 2" xfId="179"/>
    <cellStyle name="출력 3" xfId="180"/>
    <cellStyle name="콤마 [0]_  종  합  " xfId="181"/>
    <cellStyle name="콤마_  종  합  " xfId="182"/>
    <cellStyle name="통화 [0] 2" xfId="183"/>
    <cellStyle name="표준" xfId="0" builtinId="0"/>
    <cellStyle name="표준 15" xfId="184"/>
    <cellStyle name="표준 16" xfId="185"/>
    <cellStyle name="표준 2" xfId="6"/>
    <cellStyle name="표준 2 2" xfId="186"/>
    <cellStyle name="표준 2 2 2" xfId="187"/>
    <cellStyle name="표준 2 3" xfId="188"/>
    <cellStyle name="표준 2 4" xfId="2"/>
    <cellStyle name="표준 2 5" xfId="189"/>
    <cellStyle name="표준 3" xfId="190"/>
    <cellStyle name="표준 3 2" xfId="191"/>
    <cellStyle name="표준 4" xfId="192"/>
    <cellStyle name="표준 4 2" xfId="193"/>
    <cellStyle name="표준 4 3" xfId="194"/>
    <cellStyle name="표준 4 4" xfId="195"/>
    <cellStyle name="표준 4 4 2" xfId="196"/>
    <cellStyle name="표준 5" xfId="4"/>
    <cellStyle name="표준 5 2" xfId="197"/>
    <cellStyle name="표준 5 3" xfId="198"/>
    <cellStyle name="표준 6" xfId="199"/>
    <cellStyle name="표준 6 2" xfId="200"/>
    <cellStyle name="표준 7" xfId="206"/>
    <cellStyle name="표준 7 2" xfId="201"/>
    <cellStyle name="표준 8 2" xfId="202"/>
    <cellStyle name="표준 9 2" xfId="203"/>
    <cellStyle name="標準_Akia(F）-8" xfId="204"/>
    <cellStyle name="표준_BOM-5V2A(GMATE)" xfId="9"/>
    <cellStyle name="표준_MGM23-P PL (05(1).11.09)" xfId="1"/>
    <cellStyle name="표준_Part List (REV1.1)" xfId="8"/>
    <cellStyle name="표준_PL" xfId="7"/>
    <cellStyle name="표준_Sheet1" xfId="3"/>
    <cellStyle name="하이퍼링크 2" xfId="205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U549"/>
  <sheetViews>
    <sheetView tabSelected="1" view="pageBreakPreview" topLeftCell="C1" zoomScale="85" zoomScaleNormal="85" zoomScaleSheetLayoutView="85" workbookViewId="0">
      <selection activeCell="G59" sqref="G59"/>
    </sheetView>
  </sheetViews>
  <sheetFormatPr defaultColWidth="9" defaultRowHeight="30" customHeight="1"/>
  <cols>
    <col min="1" max="1" width="9" style="10"/>
    <col min="2" max="2" width="53.75" style="18" customWidth="1"/>
    <col min="3" max="3" width="16.75" style="10" customWidth="1"/>
    <col min="4" max="4" width="15.625" style="10" customWidth="1"/>
    <col min="5" max="5" width="41.875" style="10" customWidth="1"/>
    <col min="6" max="6" width="45.625" style="10" customWidth="1"/>
    <col min="7" max="7" width="18.75" style="10" customWidth="1"/>
    <col min="8" max="8" width="10.625" style="10" customWidth="1"/>
    <col min="9" max="20" width="9" style="10"/>
    <col min="21" max="21" width="10.5" style="10" bestFit="1" customWidth="1"/>
    <col min="22" max="16384" width="9" style="10"/>
  </cols>
  <sheetData>
    <row r="1" spans="1:9" ht="30" customHeight="1">
      <c r="A1" s="52" t="s">
        <v>0</v>
      </c>
      <c r="B1" s="51" t="s">
        <v>27</v>
      </c>
      <c r="C1" s="194" t="s">
        <v>1526</v>
      </c>
      <c r="D1" s="194"/>
      <c r="E1" s="194"/>
      <c r="F1" s="194"/>
      <c r="G1" s="194"/>
      <c r="H1" s="194"/>
      <c r="I1" s="194"/>
    </row>
    <row r="2" spans="1:9" ht="30" customHeight="1">
      <c r="A2" s="52" t="s">
        <v>173</v>
      </c>
      <c r="B2" s="23">
        <v>1</v>
      </c>
      <c r="C2" s="194"/>
      <c r="D2" s="194"/>
      <c r="E2" s="194"/>
      <c r="F2" s="194"/>
      <c r="G2" s="194"/>
      <c r="H2" s="194"/>
      <c r="I2" s="194"/>
    </row>
    <row r="3" spans="1:9" ht="30" customHeight="1">
      <c r="A3" s="52" t="s">
        <v>1</v>
      </c>
      <c r="B3" s="51" t="s">
        <v>1303</v>
      </c>
      <c r="C3" s="194"/>
      <c r="D3" s="194"/>
      <c r="E3" s="194"/>
      <c r="F3" s="194"/>
      <c r="G3" s="194"/>
      <c r="H3" s="194"/>
      <c r="I3" s="194"/>
    </row>
    <row r="4" spans="1:9" ht="30" customHeight="1">
      <c r="A4" s="52" t="s">
        <v>2</v>
      </c>
      <c r="B4" s="51" t="s">
        <v>1971</v>
      </c>
      <c r="C4" s="194"/>
      <c r="D4" s="194"/>
      <c r="E4" s="194"/>
      <c r="F4" s="194"/>
      <c r="G4" s="194"/>
      <c r="H4" s="194"/>
      <c r="I4" s="194"/>
    </row>
    <row r="5" spans="1:9" s="25" customFormat="1" ht="30" customHeight="1">
      <c r="A5" s="52" t="s">
        <v>174</v>
      </c>
      <c r="B5" s="24" t="s">
        <v>1527</v>
      </c>
      <c r="C5" s="194"/>
      <c r="D5" s="194"/>
      <c r="E5" s="194"/>
      <c r="F5" s="194"/>
      <c r="G5" s="194"/>
      <c r="H5" s="194"/>
      <c r="I5" s="194"/>
    </row>
    <row r="6" spans="1:9" s="25" customFormat="1" ht="30" customHeight="1">
      <c r="A6" s="52" t="s">
        <v>175</v>
      </c>
      <c r="B6" s="26">
        <v>45580</v>
      </c>
      <c r="C6" s="194"/>
      <c r="D6" s="194"/>
      <c r="E6" s="194"/>
      <c r="F6" s="194"/>
      <c r="G6" s="194"/>
      <c r="H6" s="194"/>
      <c r="I6" s="194"/>
    </row>
    <row r="7" spans="1:9" ht="30" customHeight="1">
      <c r="A7" s="27" t="s">
        <v>3</v>
      </c>
      <c r="B7" s="28" t="s">
        <v>176</v>
      </c>
      <c r="C7" s="27" t="s">
        <v>177</v>
      </c>
      <c r="D7" s="27" t="s">
        <v>6</v>
      </c>
      <c r="E7" s="29" t="s">
        <v>178</v>
      </c>
      <c r="F7" s="30" t="s">
        <v>179</v>
      </c>
      <c r="G7" s="27" t="s">
        <v>5</v>
      </c>
      <c r="H7" s="31" t="s">
        <v>4</v>
      </c>
      <c r="I7" s="31" t="s">
        <v>7</v>
      </c>
    </row>
    <row r="8" spans="1:9" s="20" customFormat="1" ht="30" customHeight="1">
      <c r="A8" s="157">
        <v>1</v>
      </c>
      <c r="B8" s="174"/>
      <c r="C8" s="242" t="s">
        <v>1638</v>
      </c>
      <c r="D8" s="48" t="s">
        <v>1639</v>
      </c>
      <c r="E8" s="69" t="s">
        <v>1640</v>
      </c>
      <c r="F8" s="58" t="s">
        <v>1641</v>
      </c>
      <c r="G8" s="48" t="s">
        <v>1642</v>
      </c>
      <c r="H8" s="243">
        <f>1/160</f>
        <v>6.2500000000000003E-3</v>
      </c>
      <c r="I8" s="187" t="s">
        <v>1643</v>
      </c>
    </row>
    <row r="9" spans="1:9" s="20" customFormat="1" ht="30" customHeight="1">
      <c r="A9" s="157">
        <v>1</v>
      </c>
      <c r="B9" s="174"/>
      <c r="C9" s="242"/>
      <c r="D9" s="48" t="s">
        <v>1856</v>
      </c>
      <c r="E9" s="69" t="s">
        <v>1644</v>
      </c>
      <c r="F9" s="58" t="s">
        <v>1645</v>
      </c>
      <c r="G9" s="48" t="s">
        <v>1646</v>
      </c>
      <c r="H9" s="243"/>
      <c r="I9" s="187"/>
    </row>
    <row r="10" spans="1:9" s="20" customFormat="1" ht="30" customHeight="1">
      <c r="A10" s="205">
        <v>2</v>
      </c>
      <c r="B10" s="174"/>
      <c r="C10" s="242" t="s">
        <v>1892</v>
      </c>
      <c r="D10" s="48" t="s">
        <v>1893</v>
      </c>
      <c r="E10" s="57" t="s">
        <v>1894</v>
      </c>
      <c r="F10" s="57" t="s">
        <v>1895</v>
      </c>
      <c r="G10" s="48" t="s">
        <v>1896</v>
      </c>
      <c r="H10" s="243">
        <f>4/160</f>
        <v>2.5000000000000001E-2</v>
      </c>
      <c r="I10" s="187" t="s">
        <v>1300</v>
      </c>
    </row>
    <row r="11" spans="1:9" s="20" customFormat="1" ht="30" customHeight="1">
      <c r="A11" s="206"/>
      <c r="B11" s="174"/>
      <c r="C11" s="242"/>
      <c r="D11" s="48" t="s">
        <v>1857</v>
      </c>
      <c r="E11" s="57" t="s">
        <v>1897</v>
      </c>
      <c r="F11" s="57" t="s">
        <v>1895</v>
      </c>
      <c r="G11" s="48" t="s">
        <v>1898</v>
      </c>
      <c r="H11" s="243"/>
      <c r="I11" s="187"/>
    </row>
    <row r="12" spans="1:9" s="20" customFormat="1" ht="30" customHeight="1">
      <c r="A12" s="205">
        <v>3</v>
      </c>
      <c r="B12" s="174"/>
      <c r="C12" s="242" t="s">
        <v>1647</v>
      </c>
      <c r="D12" s="48" t="s">
        <v>1648</v>
      </c>
      <c r="E12" s="57" t="s">
        <v>1649</v>
      </c>
      <c r="F12" s="57" t="s">
        <v>1650</v>
      </c>
      <c r="G12" s="48" t="s">
        <v>1651</v>
      </c>
      <c r="H12" s="243">
        <f>2/160</f>
        <v>1.2500000000000001E-2</v>
      </c>
      <c r="I12" s="187" t="s">
        <v>1300</v>
      </c>
    </row>
    <row r="13" spans="1:9" s="20" customFormat="1" ht="30" customHeight="1">
      <c r="A13" s="206"/>
      <c r="B13" s="174"/>
      <c r="C13" s="242"/>
      <c r="D13" s="48" t="s">
        <v>1858</v>
      </c>
      <c r="E13" s="57" t="s">
        <v>1652</v>
      </c>
      <c r="F13" s="57" t="s">
        <v>1653</v>
      </c>
      <c r="G13" s="48" t="s">
        <v>1654</v>
      </c>
      <c r="H13" s="243"/>
      <c r="I13" s="187"/>
    </row>
    <row r="14" spans="1:9" s="20" customFormat="1" ht="30" customHeight="1">
      <c r="A14" s="205">
        <v>4</v>
      </c>
      <c r="B14" s="245"/>
      <c r="C14" s="242" t="s">
        <v>1655</v>
      </c>
      <c r="D14" s="48" t="s">
        <v>1851</v>
      </c>
      <c r="E14" s="57" t="s">
        <v>1656</v>
      </c>
      <c r="F14" s="57" t="s">
        <v>1657</v>
      </c>
      <c r="G14" s="48" t="s">
        <v>1658</v>
      </c>
      <c r="H14" s="243">
        <f>1/10</f>
        <v>0.1</v>
      </c>
      <c r="I14" s="187" t="s">
        <v>1659</v>
      </c>
    </row>
    <row r="15" spans="1:9" ht="30" customHeight="1">
      <c r="A15" s="206"/>
      <c r="B15" s="245"/>
      <c r="C15" s="242"/>
      <c r="D15" s="48" t="s">
        <v>1859</v>
      </c>
      <c r="E15" s="57" t="s">
        <v>1850</v>
      </c>
      <c r="F15" s="57" t="s">
        <v>1657</v>
      </c>
      <c r="G15" s="48" t="s">
        <v>1660</v>
      </c>
      <c r="H15" s="243"/>
      <c r="I15" s="187"/>
    </row>
    <row r="16" spans="1:9" s="20" customFormat="1" ht="30" customHeight="1">
      <c r="A16" s="205">
        <v>5</v>
      </c>
      <c r="B16" s="245"/>
      <c r="C16" s="242" t="s">
        <v>1661</v>
      </c>
      <c r="D16" s="48" t="s">
        <v>1852</v>
      </c>
      <c r="E16" s="57" t="s">
        <v>1662</v>
      </c>
      <c r="F16" s="57" t="s">
        <v>1663</v>
      </c>
      <c r="G16" s="48" t="s">
        <v>1658</v>
      </c>
      <c r="H16" s="187">
        <v>1</v>
      </c>
      <c r="I16" s="187" t="s">
        <v>1659</v>
      </c>
    </row>
    <row r="17" spans="1:21" ht="30" customHeight="1">
      <c r="A17" s="206"/>
      <c r="B17" s="245"/>
      <c r="C17" s="242"/>
      <c r="D17" s="48" t="s">
        <v>1860</v>
      </c>
      <c r="E17" s="57" t="s">
        <v>1664</v>
      </c>
      <c r="F17" s="57" t="s">
        <v>1663</v>
      </c>
      <c r="G17" s="48" t="s">
        <v>1660</v>
      </c>
      <c r="H17" s="187"/>
      <c r="I17" s="187"/>
    </row>
    <row r="18" spans="1:21" ht="30" customHeight="1">
      <c r="A18" s="205">
        <v>6</v>
      </c>
      <c r="B18" s="245"/>
      <c r="C18" s="242" t="s">
        <v>1665</v>
      </c>
      <c r="D18" s="48" t="s">
        <v>1853</v>
      </c>
      <c r="E18" s="69" t="s">
        <v>1666</v>
      </c>
      <c r="F18" s="49" t="s">
        <v>1667</v>
      </c>
      <c r="G18" s="48" t="s">
        <v>1668</v>
      </c>
      <c r="H18" s="246">
        <v>7.35</v>
      </c>
      <c r="I18" s="187" t="s">
        <v>1659</v>
      </c>
    </row>
    <row r="19" spans="1:21" s="20" customFormat="1" ht="30" customHeight="1">
      <c r="A19" s="206"/>
      <c r="B19" s="245"/>
      <c r="C19" s="242"/>
      <c r="D19" s="48" t="s">
        <v>1669</v>
      </c>
      <c r="E19" s="69" t="s">
        <v>1670</v>
      </c>
      <c r="F19" s="49" t="s">
        <v>1667</v>
      </c>
      <c r="G19" s="70" t="s">
        <v>1671</v>
      </c>
      <c r="H19" s="246"/>
      <c r="I19" s="187"/>
    </row>
    <row r="20" spans="1:21" ht="30" customHeight="1">
      <c r="A20" s="205">
        <v>7</v>
      </c>
      <c r="B20" s="250"/>
      <c r="C20" s="242" t="s">
        <v>1665</v>
      </c>
      <c r="D20" s="48" t="s">
        <v>1672</v>
      </c>
      <c r="E20" s="69" t="s">
        <v>1673</v>
      </c>
      <c r="F20" s="49" t="s">
        <v>1674</v>
      </c>
      <c r="G20" s="48" t="s">
        <v>1668</v>
      </c>
      <c r="H20" s="243">
        <f>74.6/10</f>
        <v>7.4599999999999991</v>
      </c>
      <c r="I20" s="187" t="s">
        <v>1659</v>
      </c>
    </row>
    <row r="21" spans="1:21" ht="30" customHeight="1">
      <c r="A21" s="206"/>
      <c r="B21" s="250"/>
      <c r="C21" s="242"/>
      <c r="D21" s="48" t="s">
        <v>1861</v>
      </c>
      <c r="E21" s="69" t="s">
        <v>1675</v>
      </c>
      <c r="F21" s="49" t="s">
        <v>1674</v>
      </c>
      <c r="G21" s="70" t="s">
        <v>1671</v>
      </c>
      <c r="H21" s="243"/>
      <c r="I21" s="187"/>
    </row>
    <row r="22" spans="1:21" ht="30" customHeight="1">
      <c r="A22" s="205">
        <v>8</v>
      </c>
      <c r="B22" s="174"/>
      <c r="C22" s="187" t="s">
        <v>152</v>
      </c>
      <c r="D22" s="48" t="s">
        <v>1676</v>
      </c>
      <c r="E22" s="57" t="s">
        <v>1677</v>
      </c>
      <c r="F22" s="57" t="s">
        <v>1678</v>
      </c>
      <c r="G22" s="48" t="s">
        <v>1679</v>
      </c>
      <c r="H22" s="247">
        <f>1/10</f>
        <v>0.1</v>
      </c>
      <c r="I22" s="187" t="s">
        <v>1680</v>
      </c>
    </row>
    <row r="23" spans="1:21" s="3" customFormat="1" ht="30" customHeight="1">
      <c r="A23" s="206"/>
      <c r="B23" s="174"/>
      <c r="C23" s="187"/>
      <c r="D23" s="48" t="s">
        <v>1681</v>
      </c>
      <c r="E23" s="57" t="s">
        <v>1682</v>
      </c>
      <c r="F23" s="57" t="s">
        <v>1678</v>
      </c>
      <c r="G23" s="48" t="s">
        <v>1683</v>
      </c>
      <c r="H23" s="247"/>
      <c r="I23" s="187"/>
    </row>
    <row r="24" spans="1:21" s="3" customFormat="1" ht="30" customHeight="1">
      <c r="A24" s="205">
        <v>10</v>
      </c>
      <c r="B24" s="167"/>
      <c r="C24" s="187" t="s">
        <v>1684</v>
      </c>
      <c r="D24" s="48" t="s">
        <v>1854</v>
      </c>
      <c r="E24" s="57" t="s">
        <v>1685</v>
      </c>
      <c r="F24" s="57" t="s">
        <v>1686</v>
      </c>
      <c r="G24" s="48" t="s">
        <v>1687</v>
      </c>
      <c r="H24" s="253">
        <f>1/10</f>
        <v>0.1</v>
      </c>
      <c r="I24" s="187" t="s">
        <v>1688</v>
      </c>
    </row>
    <row r="25" spans="1:21" s="3" customFormat="1" ht="30" customHeight="1">
      <c r="A25" s="206"/>
      <c r="B25" s="171"/>
      <c r="C25" s="187"/>
      <c r="D25" s="48" t="s">
        <v>1689</v>
      </c>
      <c r="E25" s="57" t="s">
        <v>1690</v>
      </c>
      <c r="F25" s="57" t="s">
        <v>1686</v>
      </c>
      <c r="G25" s="48" t="s">
        <v>1691</v>
      </c>
      <c r="H25" s="254"/>
      <c r="I25" s="187"/>
    </row>
    <row r="26" spans="1:21" s="3" customFormat="1" ht="30" customHeight="1">
      <c r="A26" s="205">
        <v>11</v>
      </c>
      <c r="B26" s="167"/>
      <c r="C26" s="255" t="s">
        <v>1692</v>
      </c>
      <c r="D26" s="48" t="s">
        <v>1855</v>
      </c>
      <c r="E26" s="57" t="s">
        <v>1693</v>
      </c>
      <c r="F26" s="57" t="s">
        <v>1686</v>
      </c>
      <c r="G26" s="48" t="s">
        <v>1694</v>
      </c>
      <c r="H26" s="253">
        <f>1/10</f>
        <v>0.1</v>
      </c>
      <c r="I26" s="187" t="s">
        <v>1695</v>
      </c>
    </row>
    <row r="27" spans="1:21" s="3" customFormat="1" ht="30" customHeight="1">
      <c r="A27" s="206"/>
      <c r="B27" s="171"/>
      <c r="C27" s="256"/>
      <c r="D27" s="48" t="s">
        <v>1862</v>
      </c>
      <c r="E27" s="57" t="s">
        <v>1696</v>
      </c>
      <c r="F27" s="57" t="s">
        <v>1697</v>
      </c>
      <c r="G27" s="48" t="s">
        <v>1698</v>
      </c>
      <c r="H27" s="254"/>
      <c r="I27" s="187"/>
    </row>
    <row r="28" spans="1:21" s="3" customFormat="1" ht="30" customHeight="1">
      <c r="A28" s="205">
        <v>12</v>
      </c>
      <c r="B28" s="174"/>
      <c r="C28" s="187" t="s">
        <v>153</v>
      </c>
      <c r="D28" s="63" t="s">
        <v>1812</v>
      </c>
      <c r="E28" s="4" t="s">
        <v>180</v>
      </c>
      <c r="F28" s="5" t="s">
        <v>181</v>
      </c>
      <c r="G28" s="63" t="s">
        <v>182</v>
      </c>
      <c r="H28" s="187" t="s">
        <v>729</v>
      </c>
      <c r="I28" s="169" t="s">
        <v>154</v>
      </c>
      <c r="U28" s="32"/>
    </row>
    <row r="29" spans="1:21" ht="30" customHeight="1">
      <c r="A29" s="206"/>
      <c r="B29" s="174"/>
      <c r="C29" s="187"/>
      <c r="D29" s="63" t="s">
        <v>723</v>
      </c>
      <c r="E29" s="4" t="s">
        <v>183</v>
      </c>
      <c r="F29" s="5" t="s">
        <v>169</v>
      </c>
      <c r="G29" s="63" t="s">
        <v>184</v>
      </c>
      <c r="H29" s="187"/>
      <c r="I29" s="169"/>
    </row>
    <row r="30" spans="1:21" ht="30" customHeight="1">
      <c r="A30" s="205">
        <v>13</v>
      </c>
      <c r="B30" s="174"/>
      <c r="C30" s="187" t="s">
        <v>185</v>
      </c>
      <c r="D30" s="63" t="s">
        <v>186</v>
      </c>
      <c r="E30" s="4" t="s">
        <v>187</v>
      </c>
      <c r="F30" s="5" t="s">
        <v>188</v>
      </c>
      <c r="G30" s="63" t="s">
        <v>1480</v>
      </c>
      <c r="H30" s="187" t="s">
        <v>1039</v>
      </c>
      <c r="I30" s="169" t="s">
        <v>154</v>
      </c>
    </row>
    <row r="31" spans="1:21" s="20" customFormat="1" ht="30" customHeight="1">
      <c r="A31" s="206"/>
      <c r="B31" s="174"/>
      <c r="C31" s="187"/>
      <c r="D31" s="63" t="s">
        <v>1813</v>
      </c>
      <c r="E31" s="4" t="s">
        <v>189</v>
      </c>
      <c r="F31" s="5" t="s">
        <v>190</v>
      </c>
      <c r="G31" s="63" t="s">
        <v>191</v>
      </c>
      <c r="H31" s="187"/>
      <c r="I31" s="169"/>
    </row>
    <row r="32" spans="1:21" s="20" customFormat="1" ht="30" customHeight="1">
      <c r="A32" s="205">
        <v>14</v>
      </c>
      <c r="B32" s="250"/>
      <c r="C32" s="187" t="s">
        <v>192</v>
      </c>
      <c r="D32" s="63" t="s">
        <v>1814</v>
      </c>
      <c r="E32" s="4" t="s">
        <v>193</v>
      </c>
      <c r="F32" s="5" t="s">
        <v>194</v>
      </c>
      <c r="G32" s="63" t="s">
        <v>195</v>
      </c>
      <c r="H32" s="187">
        <v>4.8599999999999997E-2</v>
      </c>
      <c r="I32" s="169" t="s">
        <v>154</v>
      </c>
    </row>
    <row r="33" spans="1:21" ht="30" customHeight="1">
      <c r="A33" s="206"/>
      <c r="B33" s="250"/>
      <c r="C33" s="187"/>
      <c r="D33" s="63" t="s">
        <v>724</v>
      </c>
      <c r="E33" s="4" t="s">
        <v>193</v>
      </c>
      <c r="F33" s="5" t="s">
        <v>196</v>
      </c>
      <c r="G33" s="63" t="s">
        <v>197</v>
      </c>
      <c r="H33" s="187"/>
      <c r="I33" s="169"/>
    </row>
    <row r="34" spans="1:21" ht="30" customHeight="1">
      <c r="A34" s="205">
        <v>15</v>
      </c>
      <c r="B34" s="250" t="s">
        <v>730</v>
      </c>
      <c r="C34" s="163" t="s">
        <v>1478</v>
      </c>
      <c r="D34" s="11" t="s">
        <v>1815</v>
      </c>
      <c r="E34" s="19" t="s">
        <v>1035</v>
      </c>
      <c r="F34" s="50" t="s">
        <v>155</v>
      </c>
      <c r="G34" s="63" t="s">
        <v>1479</v>
      </c>
      <c r="H34" s="167">
        <f>LEN(B34)-LEN(SUBSTITUTE(B34,",",""))+1</f>
        <v>7</v>
      </c>
      <c r="I34" s="169" t="s">
        <v>154</v>
      </c>
    </row>
    <row r="35" spans="1:21" ht="30" customHeight="1">
      <c r="A35" s="206"/>
      <c r="B35" s="250"/>
      <c r="C35" s="163"/>
      <c r="D35" s="9" t="s">
        <v>1036</v>
      </c>
      <c r="E35" s="8" t="s">
        <v>1037</v>
      </c>
      <c r="F35" s="8" t="s">
        <v>155</v>
      </c>
      <c r="G35" s="9" t="s">
        <v>1038</v>
      </c>
      <c r="H35" s="168"/>
      <c r="I35" s="169"/>
    </row>
    <row r="36" spans="1:21" ht="30" customHeight="1">
      <c r="A36" s="205">
        <v>16</v>
      </c>
      <c r="B36" s="248" t="s">
        <v>1564</v>
      </c>
      <c r="C36" s="187" t="s">
        <v>919</v>
      </c>
      <c r="D36" s="63" t="s">
        <v>1816</v>
      </c>
      <c r="E36" s="4" t="s">
        <v>920</v>
      </c>
      <c r="F36" s="5" t="s">
        <v>921</v>
      </c>
      <c r="G36" s="63" t="s">
        <v>198</v>
      </c>
      <c r="H36" s="255" t="s">
        <v>1040</v>
      </c>
      <c r="I36" s="187" t="s">
        <v>922</v>
      </c>
    </row>
    <row r="37" spans="1:21" ht="30" customHeight="1">
      <c r="A37" s="206"/>
      <c r="B37" s="249"/>
      <c r="C37" s="187"/>
      <c r="D37" s="63" t="s">
        <v>1563</v>
      </c>
      <c r="E37" s="4" t="s">
        <v>923</v>
      </c>
      <c r="F37" s="5" t="s">
        <v>924</v>
      </c>
      <c r="G37" s="63" t="s">
        <v>925</v>
      </c>
      <c r="H37" s="256"/>
      <c r="I37" s="187"/>
    </row>
    <row r="38" spans="1:21" ht="30" customHeight="1">
      <c r="A38" s="205">
        <v>17</v>
      </c>
      <c r="B38" s="248" t="s">
        <v>926</v>
      </c>
      <c r="C38" s="163" t="s">
        <v>927</v>
      </c>
      <c r="D38" s="63" t="s">
        <v>928</v>
      </c>
      <c r="E38" s="4" t="s">
        <v>929</v>
      </c>
      <c r="F38" s="5" t="s">
        <v>927</v>
      </c>
      <c r="G38" s="63" t="s">
        <v>930</v>
      </c>
      <c r="H38" s="255" t="s">
        <v>1041</v>
      </c>
      <c r="I38" s="187" t="s">
        <v>922</v>
      </c>
    </row>
    <row r="39" spans="1:21" ht="30" customHeight="1">
      <c r="A39" s="206"/>
      <c r="B39" s="249"/>
      <c r="C39" s="163"/>
      <c r="D39" s="63"/>
      <c r="E39" s="4"/>
      <c r="F39" s="5"/>
      <c r="G39" s="63"/>
      <c r="H39" s="256"/>
      <c r="I39" s="187"/>
      <c r="U39" s="33"/>
    </row>
    <row r="40" spans="1:21" ht="30" customHeight="1">
      <c r="A40" s="205">
        <v>18</v>
      </c>
      <c r="B40" s="164" t="s">
        <v>1575</v>
      </c>
      <c r="C40" s="179" t="s">
        <v>927</v>
      </c>
      <c r="D40" s="63" t="s">
        <v>937</v>
      </c>
      <c r="E40" s="4" t="s">
        <v>931</v>
      </c>
      <c r="F40" s="5" t="s">
        <v>932</v>
      </c>
      <c r="G40" s="63" t="s">
        <v>933</v>
      </c>
      <c r="H40" s="167" t="s">
        <v>1042</v>
      </c>
      <c r="I40" s="205" t="s">
        <v>154</v>
      </c>
      <c r="U40" s="33"/>
    </row>
    <row r="41" spans="1:21" ht="30" customHeight="1">
      <c r="A41" s="206"/>
      <c r="B41" s="165"/>
      <c r="C41" s="179"/>
      <c r="D41" s="63" t="s">
        <v>934</v>
      </c>
      <c r="E41" s="4" t="s">
        <v>935</v>
      </c>
      <c r="F41" s="5" t="s">
        <v>936</v>
      </c>
      <c r="G41" s="63" t="s">
        <v>933</v>
      </c>
      <c r="H41" s="171"/>
      <c r="I41" s="206"/>
      <c r="U41" s="33"/>
    </row>
    <row r="42" spans="1:21" s="53" customFormat="1" ht="30" customHeight="1">
      <c r="A42" s="203">
        <v>19</v>
      </c>
      <c r="B42" s="210" t="s">
        <v>1880</v>
      </c>
      <c r="C42" s="251" t="s">
        <v>1090</v>
      </c>
      <c r="D42" s="74" t="s">
        <v>1817</v>
      </c>
      <c r="E42" s="75" t="s">
        <v>1012</v>
      </c>
      <c r="F42" s="76" t="s">
        <v>1013</v>
      </c>
      <c r="G42" s="74" t="s">
        <v>1014</v>
      </c>
      <c r="H42" s="177">
        <f>LEN(B42)-LEN(SUBSTITUTE(B42,",",""))+1</f>
        <v>3</v>
      </c>
      <c r="I42" s="185" t="s">
        <v>804</v>
      </c>
    </row>
    <row r="43" spans="1:21" s="53" customFormat="1" ht="30" customHeight="1">
      <c r="A43" s="204"/>
      <c r="B43" s="211"/>
      <c r="C43" s="252"/>
      <c r="D43" s="74" t="s">
        <v>1015</v>
      </c>
      <c r="E43" s="75" t="s">
        <v>1016</v>
      </c>
      <c r="F43" s="76" t="s">
        <v>1017</v>
      </c>
      <c r="G43" s="74" t="s">
        <v>202</v>
      </c>
      <c r="H43" s="178"/>
      <c r="I43" s="185"/>
    </row>
    <row r="44" spans="1:21" s="53" customFormat="1" ht="30" customHeight="1">
      <c r="A44" s="203">
        <v>20</v>
      </c>
      <c r="B44" s="209" t="s">
        <v>1881</v>
      </c>
      <c r="C44" s="251" t="s">
        <v>1028</v>
      </c>
      <c r="D44" s="77" t="s">
        <v>1818</v>
      </c>
      <c r="E44" s="78" t="s">
        <v>1580</v>
      </c>
      <c r="F44" s="79" t="s">
        <v>1882</v>
      </c>
      <c r="G44" s="77" t="s">
        <v>1581</v>
      </c>
      <c r="H44" s="177">
        <f>LEN(B44)-LEN(SUBSTITUTE(B44,",",""))+1</f>
        <v>1</v>
      </c>
      <c r="I44" s="185" t="s">
        <v>1030</v>
      </c>
    </row>
    <row r="45" spans="1:21" s="53" customFormat="1" ht="30" customHeight="1">
      <c r="A45" s="204"/>
      <c r="B45" s="209"/>
      <c r="C45" s="252"/>
      <c r="D45" s="77" t="s">
        <v>1884</v>
      </c>
      <c r="E45" s="78" t="s">
        <v>1883</v>
      </c>
      <c r="F45" s="79" t="s">
        <v>1031</v>
      </c>
      <c r="G45" s="77" t="s">
        <v>1032</v>
      </c>
      <c r="H45" s="186"/>
      <c r="I45" s="185"/>
    </row>
    <row r="46" spans="1:21" s="53" customFormat="1" ht="30" customHeight="1">
      <c r="A46" s="203">
        <v>21</v>
      </c>
      <c r="B46" s="257" t="s">
        <v>867</v>
      </c>
      <c r="C46" s="195" t="s">
        <v>203</v>
      </c>
      <c r="D46" s="74" t="s">
        <v>1819</v>
      </c>
      <c r="E46" s="75" t="s">
        <v>734</v>
      </c>
      <c r="F46" s="76" t="s">
        <v>720</v>
      </c>
      <c r="G46" s="74" t="s">
        <v>1011</v>
      </c>
      <c r="H46" s="177">
        <f>LEN(B46)-LEN(SUBSTITUTE(B46,",",""))+1</f>
        <v>2</v>
      </c>
      <c r="I46" s="196" t="s">
        <v>201</v>
      </c>
    </row>
    <row r="47" spans="1:21" s="53" customFormat="1" ht="30" customHeight="1">
      <c r="A47" s="204"/>
      <c r="B47" s="258"/>
      <c r="C47" s="195"/>
      <c r="D47" s="80" t="s">
        <v>1007</v>
      </c>
      <c r="E47" s="81" t="s">
        <v>1008</v>
      </c>
      <c r="F47" s="81" t="s">
        <v>1009</v>
      </c>
      <c r="G47" s="80" t="s">
        <v>1010</v>
      </c>
      <c r="H47" s="186"/>
      <c r="I47" s="199"/>
    </row>
    <row r="48" spans="1:21" s="53" customFormat="1" ht="30" customHeight="1">
      <c r="A48" s="203">
        <v>22</v>
      </c>
      <c r="B48" s="209" t="s">
        <v>1271</v>
      </c>
      <c r="C48" s="195" t="s">
        <v>1272</v>
      </c>
      <c r="D48" s="80" t="s">
        <v>1820</v>
      </c>
      <c r="E48" s="82" t="s">
        <v>1294</v>
      </c>
      <c r="F48" s="82" t="s">
        <v>1018</v>
      </c>
      <c r="G48" s="83" t="s">
        <v>1019</v>
      </c>
      <c r="H48" s="177">
        <f>LEN(B48)-LEN(SUBSTITUTE(B48,",",""))+1</f>
        <v>2</v>
      </c>
      <c r="I48" s="185" t="s">
        <v>213</v>
      </c>
    </row>
    <row r="49" spans="1:9" s="53" customFormat="1" ht="30" customHeight="1">
      <c r="A49" s="204"/>
      <c r="B49" s="209"/>
      <c r="C49" s="195"/>
      <c r="D49" s="80" t="s">
        <v>1821</v>
      </c>
      <c r="E49" s="82" t="s">
        <v>1120</v>
      </c>
      <c r="F49" s="82" t="s">
        <v>1020</v>
      </c>
      <c r="G49" s="83" t="s">
        <v>1010</v>
      </c>
      <c r="H49" s="186"/>
      <c r="I49" s="185"/>
    </row>
    <row r="50" spans="1:9" s="53" customFormat="1" ht="30" customHeight="1">
      <c r="A50" s="203">
        <v>24</v>
      </c>
      <c r="B50" s="209" t="s">
        <v>1630</v>
      </c>
      <c r="C50" s="195" t="s">
        <v>204</v>
      </c>
      <c r="D50" s="84" t="s">
        <v>721</v>
      </c>
      <c r="E50" s="85" t="s">
        <v>735</v>
      </c>
      <c r="F50" s="85" t="s">
        <v>1558</v>
      </c>
      <c r="G50" s="77" t="s">
        <v>202</v>
      </c>
      <c r="H50" s="177">
        <f>LEN(B50)-LEN(SUBSTITUTE(B50,",",""))+1</f>
        <v>2</v>
      </c>
      <c r="I50" s="185" t="s">
        <v>199</v>
      </c>
    </row>
    <row r="51" spans="1:9" s="53" customFormat="1" ht="30" customHeight="1">
      <c r="A51" s="204"/>
      <c r="B51" s="209"/>
      <c r="C51" s="195"/>
      <c r="D51" s="84" t="s">
        <v>745</v>
      </c>
      <c r="E51" s="85" t="s">
        <v>736</v>
      </c>
      <c r="F51" s="85" t="s">
        <v>737</v>
      </c>
      <c r="G51" s="77" t="s">
        <v>733</v>
      </c>
      <c r="H51" s="186"/>
      <c r="I51" s="185"/>
    </row>
    <row r="52" spans="1:9" s="53" customFormat="1" ht="30" customHeight="1">
      <c r="A52" s="203">
        <v>25</v>
      </c>
      <c r="B52" s="210" t="s">
        <v>866</v>
      </c>
      <c r="C52" s="185" t="s">
        <v>207</v>
      </c>
      <c r="D52" s="84" t="s">
        <v>1822</v>
      </c>
      <c r="E52" s="75" t="s">
        <v>942</v>
      </c>
      <c r="F52" s="76" t="s">
        <v>772</v>
      </c>
      <c r="G52" s="77" t="s">
        <v>208</v>
      </c>
      <c r="H52" s="177">
        <f>LEN(B52)-LEN(SUBSTITUTE(B52,",",""))+1</f>
        <v>4</v>
      </c>
      <c r="I52" s="196" t="s">
        <v>205</v>
      </c>
    </row>
    <row r="53" spans="1:9" s="54" customFormat="1" ht="30" customHeight="1">
      <c r="A53" s="204"/>
      <c r="B53" s="211"/>
      <c r="C53" s="185"/>
      <c r="D53" s="74" t="s">
        <v>773</v>
      </c>
      <c r="E53" s="75" t="s">
        <v>768</v>
      </c>
      <c r="F53" s="76" t="s">
        <v>769</v>
      </c>
      <c r="G53" s="77" t="s">
        <v>664</v>
      </c>
      <c r="H53" s="186"/>
      <c r="I53" s="199"/>
    </row>
    <row r="54" spans="1:9" ht="30" customHeight="1">
      <c r="A54" s="205">
        <v>26</v>
      </c>
      <c r="B54" s="174" t="s">
        <v>798</v>
      </c>
      <c r="C54" s="169" t="s">
        <v>1077</v>
      </c>
      <c r="D54" s="9" t="s">
        <v>1295</v>
      </c>
      <c r="E54" s="8" t="s">
        <v>1296</v>
      </c>
      <c r="F54" s="8" t="s">
        <v>1078</v>
      </c>
      <c r="G54" s="9" t="s">
        <v>558</v>
      </c>
      <c r="H54" s="167">
        <f>LEN(B54)-LEN(SUBSTITUTE(B54,",",""))+1</f>
        <v>4</v>
      </c>
      <c r="I54" s="169" t="s">
        <v>154</v>
      </c>
    </row>
    <row r="55" spans="1:9" ht="30" customHeight="1">
      <c r="A55" s="206"/>
      <c r="B55" s="174"/>
      <c r="C55" s="169"/>
      <c r="D55" s="9" t="s">
        <v>1297</v>
      </c>
      <c r="E55" s="8" t="s">
        <v>1079</v>
      </c>
      <c r="F55" s="8" t="s">
        <v>1078</v>
      </c>
      <c r="G55" s="63" t="s">
        <v>1298</v>
      </c>
      <c r="H55" s="171"/>
      <c r="I55" s="169"/>
    </row>
    <row r="56" spans="1:9" s="53" customFormat="1" ht="30" customHeight="1">
      <c r="A56" s="203">
        <v>27</v>
      </c>
      <c r="B56" s="209" t="s">
        <v>1327</v>
      </c>
      <c r="C56" s="188" t="s">
        <v>209</v>
      </c>
      <c r="D56" s="84" t="s">
        <v>1823</v>
      </c>
      <c r="E56" s="86" t="s">
        <v>1559</v>
      </c>
      <c r="F56" s="76" t="s">
        <v>165</v>
      </c>
      <c r="G56" s="77" t="s">
        <v>1560</v>
      </c>
      <c r="H56" s="177">
        <f>LEN(B56)-LEN(SUBSTITUTE(B56,",",""))+1</f>
        <v>1</v>
      </c>
      <c r="I56" s="185" t="s">
        <v>201</v>
      </c>
    </row>
    <row r="57" spans="1:9" s="53" customFormat="1" ht="30" customHeight="1">
      <c r="A57" s="204"/>
      <c r="B57" s="209"/>
      <c r="C57" s="189"/>
      <c r="D57" s="149" t="s">
        <v>1955</v>
      </c>
      <c r="E57" s="150" t="s">
        <v>1939</v>
      </c>
      <c r="F57" s="151" t="s">
        <v>1940</v>
      </c>
      <c r="G57" s="152" t="s">
        <v>1941</v>
      </c>
      <c r="H57" s="186"/>
      <c r="I57" s="185"/>
    </row>
    <row r="58" spans="1:9" ht="30" customHeight="1">
      <c r="A58" s="205">
        <v>28</v>
      </c>
      <c r="B58" s="174" t="s">
        <v>1328</v>
      </c>
      <c r="C58" s="187" t="s">
        <v>758</v>
      </c>
      <c r="D58" s="131" t="s">
        <v>1824</v>
      </c>
      <c r="E58" s="2" t="s">
        <v>806</v>
      </c>
      <c r="F58" s="4" t="s">
        <v>807</v>
      </c>
      <c r="G58" s="130" t="s">
        <v>808</v>
      </c>
      <c r="H58" s="163">
        <f>LEN(B58)-LEN(SUBSTITUTE(B58,",",""))+1</f>
        <v>1</v>
      </c>
      <c r="I58" s="169" t="s">
        <v>154</v>
      </c>
    </row>
    <row r="59" spans="1:9" ht="30" customHeight="1">
      <c r="A59" s="206"/>
      <c r="B59" s="174"/>
      <c r="C59" s="187"/>
      <c r="D59" s="131" t="s">
        <v>805</v>
      </c>
      <c r="E59" s="2" t="s">
        <v>806</v>
      </c>
      <c r="F59" s="4" t="s">
        <v>807</v>
      </c>
      <c r="G59" s="130" t="s">
        <v>809</v>
      </c>
      <c r="H59" s="163"/>
      <c r="I59" s="169"/>
    </row>
    <row r="60" spans="1:9" s="53" customFormat="1" ht="30" customHeight="1">
      <c r="A60" s="203">
        <v>29</v>
      </c>
      <c r="B60" s="210" t="s">
        <v>899</v>
      </c>
      <c r="C60" s="196" t="s">
        <v>211</v>
      </c>
      <c r="D60" s="84" t="s">
        <v>1825</v>
      </c>
      <c r="E60" s="87" t="s">
        <v>901</v>
      </c>
      <c r="F60" s="88" t="s">
        <v>902</v>
      </c>
      <c r="G60" s="74" t="s">
        <v>903</v>
      </c>
      <c r="H60" s="177">
        <f>LEN(B60)-LEN(SUBSTITUTE(B60,",",""))+1</f>
        <v>4</v>
      </c>
      <c r="I60" s="196" t="s">
        <v>212</v>
      </c>
    </row>
    <row r="61" spans="1:9" s="53" customFormat="1" ht="30" customHeight="1">
      <c r="A61" s="204"/>
      <c r="B61" s="244"/>
      <c r="C61" s="197"/>
      <c r="D61" s="84" t="s">
        <v>904</v>
      </c>
      <c r="E61" s="87" t="s">
        <v>905</v>
      </c>
      <c r="F61" s="88" t="s">
        <v>906</v>
      </c>
      <c r="G61" s="89" t="s">
        <v>907</v>
      </c>
      <c r="H61" s="178"/>
      <c r="I61" s="197"/>
    </row>
    <row r="62" spans="1:9" s="53" customFormat="1" ht="30" customHeight="1">
      <c r="A62" s="203">
        <v>30</v>
      </c>
      <c r="B62" s="209" t="s">
        <v>1269</v>
      </c>
      <c r="C62" s="185" t="s">
        <v>1270</v>
      </c>
      <c r="D62" s="84" t="s">
        <v>1561</v>
      </c>
      <c r="E62" s="87" t="s">
        <v>908</v>
      </c>
      <c r="F62" s="87" t="s">
        <v>909</v>
      </c>
      <c r="G62" s="74" t="s">
        <v>782</v>
      </c>
      <c r="H62" s="193">
        <f>LEN(B62)-LEN(SUBSTITUTE(B62,",",""))+1</f>
        <v>3</v>
      </c>
      <c r="I62" s="185" t="s">
        <v>213</v>
      </c>
    </row>
    <row r="63" spans="1:9" s="53" customFormat="1" ht="30" customHeight="1">
      <c r="A63" s="204"/>
      <c r="B63" s="209"/>
      <c r="C63" s="185"/>
      <c r="D63" s="84" t="s">
        <v>1826</v>
      </c>
      <c r="E63" s="87" t="s">
        <v>910</v>
      </c>
      <c r="F63" s="87" t="s">
        <v>909</v>
      </c>
      <c r="G63" s="74" t="s">
        <v>784</v>
      </c>
      <c r="H63" s="193"/>
      <c r="I63" s="185"/>
    </row>
    <row r="64" spans="1:9" s="53" customFormat="1" ht="30" customHeight="1">
      <c r="A64" s="203">
        <v>31</v>
      </c>
      <c r="B64" s="210" t="s">
        <v>790</v>
      </c>
      <c r="C64" s="196" t="s">
        <v>206</v>
      </c>
      <c r="D64" s="90" t="s">
        <v>1827</v>
      </c>
      <c r="E64" s="91" t="s">
        <v>911</v>
      </c>
      <c r="F64" s="91" t="s">
        <v>912</v>
      </c>
      <c r="G64" s="92" t="s">
        <v>782</v>
      </c>
      <c r="H64" s="177">
        <f>LEN(B64)-LEN(SUBSTITUTE(B64,",",""))+1</f>
        <v>4</v>
      </c>
      <c r="I64" s="196" t="s">
        <v>913</v>
      </c>
    </row>
    <row r="65" spans="1:12" s="53" customFormat="1" ht="30" customHeight="1">
      <c r="A65" s="204"/>
      <c r="B65" s="244"/>
      <c r="C65" s="197"/>
      <c r="D65" s="90" t="s">
        <v>918</v>
      </c>
      <c r="E65" s="91" t="s">
        <v>914</v>
      </c>
      <c r="F65" s="91" t="s">
        <v>912</v>
      </c>
      <c r="G65" s="92" t="s">
        <v>784</v>
      </c>
      <c r="H65" s="178"/>
      <c r="I65" s="197"/>
    </row>
    <row r="66" spans="1:12" s="53" customFormat="1" ht="30" customHeight="1">
      <c r="A66" s="238">
        <v>32</v>
      </c>
      <c r="B66" s="240" t="s">
        <v>1828</v>
      </c>
      <c r="C66" s="259" t="s">
        <v>1021</v>
      </c>
      <c r="D66" s="93" t="s">
        <v>1829</v>
      </c>
      <c r="E66" s="94" t="s">
        <v>1864</v>
      </c>
      <c r="F66" s="94" t="s">
        <v>1634</v>
      </c>
      <c r="G66" s="93" t="s">
        <v>1482</v>
      </c>
      <c r="H66" s="233">
        <f>LEN(B66)-LEN(SUBSTITUTE(B66,",",""))+1</f>
        <v>1</v>
      </c>
      <c r="I66" s="235" t="s">
        <v>201</v>
      </c>
    </row>
    <row r="67" spans="1:12" s="53" customFormat="1" ht="30" customHeight="1">
      <c r="A67" s="239"/>
      <c r="B67" s="241"/>
      <c r="C67" s="260"/>
      <c r="D67" s="93" t="s">
        <v>1635</v>
      </c>
      <c r="E67" s="94" t="s">
        <v>1863</v>
      </c>
      <c r="F67" s="94" t="s">
        <v>1633</v>
      </c>
      <c r="G67" s="93" t="s">
        <v>1483</v>
      </c>
      <c r="H67" s="234"/>
      <c r="I67" s="236"/>
    </row>
    <row r="68" spans="1:12" s="53" customFormat="1" ht="30" customHeight="1">
      <c r="A68" s="203">
        <v>33</v>
      </c>
      <c r="B68" s="210" t="s">
        <v>1579</v>
      </c>
      <c r="C68" s="188" t="s">
        <v>810</v>
      </c>
      <c r="D68" s="80" t="s">
        <v>1830</v>
      </c>
      <c r="E68" s="81" t="s">
        <v>1590</v>
      </c>
      <c r="F68" s="81" t="s">
        <v>1592</v>
      </c>
      <c r="G68" s="77" t="s">
        <v>1594</v>
      </c>
      <c r="H68" s="177">
        <f>LEN(B68)-LEN(SUBSTITUTE(B68,",",""))+1</f>
        <v>1</v>
      </c>
      <c r="I68" s="196" t="s">
        <v>199</v>
      </c>
    </row>
    <row r="69" spans="1:12" s="54" customFormat="1" ht="30" customHeight="1">
      <c r="A69" s="204"/>
      <c r="B69" s="211"/>
      <c r="C69" s="189"/>
      <c r="D69" s="80" t="s">
        <v>1595</v>
      </c>
      <c r="E69" s="81" t="s">
        <v>1591</v>
      </c>
      <c r="F69" s="81" t="s">
        <v>1593</v>
      </c>
      <c r="G69" s="77" t="s">
        <v>1005</v>
      </c>
      <c r="H69" s="186"/>
      <c r="I69" s="199"/>
      <c r="J69" s="53"/>
      <c r="K69" s="53"/>
      <c r="L69" s="53"/>
    </row>
    <row r="70" spans="1:12" s="53" customFormat="1" ht="30" customHeight="1">
      <c r="A70" s="203">
        <v>34</v>
      </c>
      <c r="B70" s="210" t="s">
        <v>1311</v>
      </c>
      <c r="C70" s="188" t="s">
        <v>810</v>
      </c>
      <c r="D70" s="80" t="s">
        <v>1596</v>
      </c>
      <c r="E70" s="81" t="s">
        <v>1598</v>
      </c>
      <c r="F70" s="81" t="s">
        <v>1974</v>
      </c>
      <c r="G70" s="77" t="s">
        <v>1600</v>
      </c>
      <c r="H70" s="177">
        <f>LEN(B70)-LEN(SUBSTITUTE(B70,",",""))+1</f>
        <v>2</v>
      </c>
      <c r="I70" s="196" t="s">
        <v>199</v>
      </c>
      <c r="J70" s="155" t="s">
        <v>1970</v>
      </c>
      <c r="K70" s="156"/>
    </row>
    <row r="71" spans="1:12" s="53" customFormat="1" ht="30" customHeight="1">
      <c r="A71" s="204"/>
      <c r="B71" s="211"/>
      <c r="C71" s="189"/>
      <c r="D71" s="80" t="s">
        <v>1597</v>
      </c>
      <c r="E71" s="81" t="s">
        <v>1599</v>
      </c>
      <c r="F71" s="81" t="s">
        <v>1975</v>
      </c>
      <c r="G71" s="77" t="s">
        <v>1601</v>
      </c>
      <c r="H71" s="186"/>
      <c r="I71" s="199"/>
      <c r="J71" s="155"/>
      <c r="K71" s="156"/>
    </row>
    <row r="72" spans="1:12" ht="30" customHeight="1">
      <c r="A72" s="205">
        <v>35</v>
      </c>
      <c r="B72" s="164" t="s">
        <v>774</v>
      </c>
      <c r="C72" s="255" t="s">
        <v>215</v>
      </c>
      <c r="D72" s="9" t="s">
        <v>1587</v>
      </c>
      <c r="E72" s="8" t="s">
        <v>1588</v>
      </c>
      <c r="F72" s="8" t="s">
        <v>1976</v>
      </c>
      <c r="G72" s="55" t="s">
        <v>1589</v>
      </c>
      <c r="H72" s="167">
        <f>LEN(B72)-LEN(SUBSTITUTE(B72,",",""))+1</f>
        <v>2</v>
      </c>
      <c r="I72" s="158" t="s">
        <v>199</v>
      </c>
      <c r="J72" s="3"/>
      <c r="K72" s="3"/>
      <c r="L72" s="3"/>
    </row>
    <row r="73" spans="1:12" ht="30" customHeight="1">
      <c r="A73" s="206"/>
      <c r="B73" s="166"/>
      <c r="C73" s="256"/>
      <c r="D73" s="9"/>
      <c r="E73" s="8"/>
      <c r="F73" s="8"/>
      <c r="G73" s="56"/>
      <c r="H73" s="171"/>
      <c r="I73" s="160"/>
      <c r="J73" s="3"/>
      <c r="K73" s="3"/>
      <c r="L73" s="3"/>
    </row>
    <row r="74" spans="1:12" s="53" customFormat="1" ht="30" customHeight="1">
      <c r="A74" s="203">
        <v>36</v>
      </c>
      <c r="B74" s="210" t="s">
        <v>1566</v>
      </c>
      <c r="C74" s="188" t="s">
        <v>216</v>
      </c>
      <c r="D74" s="80" t="s">
        <v>1831</v>
      </c>
      <c r="E74" s="81" t="s">
        <v>1582</v>
      </c>
      <c r="F74" s="95" t="s">
        <v>1972</v>
      </c>
      <c r="G74" s="77" t="s">
        <v>1005</v>
      </c>
      <c r="H74" s="177">
        <f>LEN(B74)-LEN(SUBSTITUTE(B74,",",""))+1</f>
        <v>1</v>
      </c>
      <c r="I74" s="196" t="s">
        <v>1603</v>
      </c>
      <c r="J74" s="54"/>
      <c r="K74" s="54"/>
      <c r="L74" s="54"/>
    </row>
    <row r="75" spans="1:12" s="53" customFormat="1" ht="30" customHeight="1">
      <c r="A75" s="204"/>
      <c r="B75" s="211"/>
      <c r="C75" s="189"/>
      <c r="D75" s="80" t="s">
        <v>1583</v>
      </c>
      <c r="E75" s="81" t="s">
        <v>1582</v>
      </c>
      <c r="F75" s="95" t="s">
        <v>1973</v>
      </c>
      <c r="G75" s="77" t="s">
        <v>1602</v>
      </c>
      <c r="H75" s="186"/>
      <c r="I75" s="199"/>
    </row>
    <row r="76" spans="1:12" s="53" customFormat="1" ht="30" customHeight="1">
      <c r="A76" s="203">
        <v>37</v>
      </c>
      <c r="B76" s="210" t="s">
        <v>954</v>
      </c>
      <c r="C76" s="188" t="s">
        <v>216</v>
      </c>
      <c r="D76" s="80" t="s">
        <v>1584</v>
      </c>
      <c r="E76" s="81" t="s">
        <v>1585</v>
      </c>
      <c r="F76" s="81" t="s">
        <v>1586</v>
      </c>
      <c r="G76" s="77" t="s">
        <v>1005</v>
      </c>
      <c r="H76" s="177">
        <f>LEN(B76)-LEN(SUBSTITUTE(B76,",",""))+1</f>
        <v>1</v>
      </c>
      <c r="I76" s="196" t="s">
        <v>199</v>
      </c>
    </row>
    <row r="77" spans="1:12" s="53" customFormat="1" ht="30" customHeight="1">
      <c r="A77" s="204"/>
      <c r="B77" s="211"/>
      <c r="C77" s="189"/>
      <c r="D77" s="80" t="s">
        <v>1584</v>
      </c>
      <c r="E77" s="81" t="s">
        <v>1585</v>
      </c>
      <c r="F77" s="81" t="s">
        <v>1586</v>
      </c>
      <c r="G77" s="77" t="s">
        <v>1600</v>
      </c>
      <c r="H77" s="186"/>
      <c r="I77" s="199"/>
    </row>
    <row r="78" spans="1:12" s="53" customFormat="1" ht="30" customHeight="1">
      <c r="A78" s="203">
        <v>38</v>
      </c>
      <c r="B78" s="209" t="s">
        <v>653</v>
      </c>
      <c r="C78" s="170" t="s">
        <v>1080</v>
      </c>
      <c r="D78" s="84" t="s">
        <v>1832</v>
      </c>
      <c r="E78" s="96" t="s">
        <v>1081</v>
      </c>
      <c r="F78" s="97" t="s">
        <v>1879</v>
      </c>
      <c r="G78" s="77" t="s">
        <v>1082</v>
      </c>
      <c r="H78" s="177">
        <f>LEN(B78)-LEN(SUBSTITUTE(B78,",",""))+1</f>
        <v>1</v>
      </c>
      <c r="I78" s="185" t="s">
        <v>205</v>
      </c>
    </row>
    <row r="79" spans="1:12" s="53" customFormat="1" ht="30" customHeight="1">
      <c r="A79" s="204"/>
      <c r="B79" s="209"/>
      <c r="C79" s="170"/>
      <c r="D79" s="80" t="s">
        <v>1083</v>
      </c>
      <c r="E79" s="81" t="s">
        <v>1084</v>
      </c>
      <c r="F79" s="81" t="s">
        <v>1085</v>
      </c>
      <c r="G79" s="80" t="s">
        <v>1086</v>
      </c>
      <c r="H79" s="186"/>
      <c r="I79" s="185"/>
    </row>
    <row r="80" spans="1:12" s="3" customFormat="1" ht="30" customHeight="1">
      <c r="A80" s="205">
        <v>39</v>
      </c>
      <c r="B80" s="174" t="s">
        <v>715</v>
      </c>
      <c r="C80" s="237" t="s">
        <v>1033</v>
      </c>
      <c r="D80" s="125" t="s">
        <v>1885</v>
      </c>
      <c r="E80" s="126" t="s">
        <v>1886</v>
      </c>
      <c r="F80" s="126" t="s">
        <v>1887</v>
      </c>
      <c r="G80" s="125" t="s">
        <v>1034</v>
      </c>
      <c r="H80" s="190">
        <f t="shared" ref="H80" si="0">LEN(B80)-LEN(SUBSTITUTE(B80,",",""))+1</f>
        <v>1</v>
      </c>
      <c r="I80" s="198" t="s">
        <v>199</v>
      </c>
      <c r="J80" s="10"/>
      <c r="K80" s="10"/>
      <c r="L80" s="10"/>
    </row>
    <row r="81" spans="1:12" s="3" customFormat="1" ht="30" customHeight="1">
      <c r="A81" s="206"/>
      <c r="B81" s="174"/>
      <c r="C81" s="237"/>
      <c r="D81" s="125" t="s">
        <v>1888</v>
      </c>
      <c r="E81" s="126" t="s">
        <v>1889</v>
      </c>
      <c r="F81" s="126" t="s">
        <v>1890</v>
      </c>
      <c r="G81" s="125" t="s">
        <v>1891</v>
      </c>
      <c r="H81" s="191"/>
      <c r="I81" s="198"/>
      <c r="J81" s="10"/>
      <c r="K81" s="10"/>
      <c r="L81" s="10"/>
    </row>
    <row r="82" spans="1:12" s="54" customFormat="1" ht="30" customHeight="1">
      <c r="A82" s="203">
        <v>40</v>
      </c>
      <c r="B82" s="209" t="s">
        <v>1006</v>
      </c>
      <c r="C82" s="192" t="s">
        <v>1871</v>
      </c>
      <c r="D82" s="89" t="s">
        <v>1872</v>
      </c>
      <c r="E82" s="98" t="s">
        <v>1877</v>
      </c>
      <c r="F82" s="98" t="s">
        <v>1870</v>
      </c>
      <c r="G82" s="99" t="s">
        <v>156</v>
      </c>
      <c r="H82" s="193">
        <f>LEN(B82)-LEN(SUBSTITUTE(B82,",",""))+1</f>
        <v>1</v>
      </c>
      <c r="I82" s="185" t="s">
        <v>205</v>
      </c>
      <c r="J82" s="53"/>
      <c r="K82" s="53"/>
      <c r="L82" s="53"/>
    </row>
    <row r="83" spans="1:12" s="53" customFormat="1" ht="30" customHeight="1">
      <c r="A83" s="204"/>
      <c r="B83" s="209"/>
      <c r="C83" s="192"/>
      <c r="D83" s="89" t="s">
        <v>1873</v>
      </c>
      <c r="E83" s="100" t="s">
        <v>1874</v>
      </c>
      <c r="F83" s="95" t="s">
        <v>1875</v>
      </c>
      <c r="G83" s="124" t="s">
        <v>1876</v>
      </c>
      <c r="H83" s="193"/>
      <c r="I83" s="185"/>
    </row>
    <row r="84" spans="1:12" s="53" customFormat="1" ht="30" customHeight="1">
      <c r="A84" s="203">
        <v>41</v>
      </c>
      <c r="B84" s="212" t="s">
        <v>959</v>
      </c>
      <c r="C84" s="192" t="s">
        <v>960</v>
      </c>
      <c r="D84" s="80" t="s">
        <v>1833</v>
      </c>
      <c r="E84" s="95" t="s">
        <v>1091</v>
      </c>
      <c r="F84" s="95" t="s">
        <v>961</v>
      </c>
      <c r="G84" s="74" t="s">
        <v>156</v>
      </c>
      <c r="H84" s="193">
        <f>LEN(B84)-LEN(SUBSTITUTE(B84,",",""))+1</f>
        <v>1</v>
      </c>
      <c r="I84" s="185" t="s">
        <v>154</v>
      </c>
    </row>
    <row r="85" spans="1:12" s="53" customFormat="1" ht="30" customHeight="1">
      <c r="A85" s="204"/>
      <c r="B85" s="212"/>
      <c r="C85" s="192"/>
      <c r="D85" s="80" t="s">
        <v>962</v>
      </c>
      <c r="E85" s="95" t="s">
        <v>963</v>
      </c>
      <c r="F85" s="95" t="s">
        <v>964</v>
      </c>
      <c r="G85" s="74" t="s">
        <v>571</v>
      </c>
      <c r="H85" s="193"/>
      <c r="I85" s="185"/>
    </row>
    <row r="86" spans="1:12" ht="30" customHeight="1">
      <c r="A86" s="205">
        <v>42</v>
      </c>
      <c r="B86" s="174" t="s">
        <v>217</v>
      </c>
      <c r="C86" s="187" t="s">
        <v>218</v>
      </c>
      <c r="D86" s="62" t="s">
        <v>1834</v>
      </c>
      <c r="E86" s="2" t="s">
        <v>219</v>
      </c>
      <c r="F86" s="61" t="s">
        <v>220</v>
      </c>
      <c r="G86" s="63" t="s">
        <v>157</v>
      </c>
      <c r="H86" s="167">
        <f>LEN(B86)-LEN(SUBSTITUTE(B86,",",""))+1</f>
        <v>1</v>
      </c>
      <c r="I86" s="169" t="s">
        <v>213</v>
      </c>
    </row>
    <row r="87" spans="1:12" ht="30" customHeight="1">
      <c r="A87" s="206"/>
      <c r="B87" s="174"/>
      <c r="C87" s="187"/>
      <c r="D87" s="9" t="s">
        <v>1121</v>
      </c>
      <c r="E87" s="8" t="s">
        <v>1122</v>
      </c>
      <c r="F87" s="8" t="s">
        <v>1123</v>
      </c>
      <c r="G87" s="9" t="s">
        <v>1484</v>
      </c>
      <c r="H87" s="171"/>
      <c r="I87" s="169"/>
    </row>
    <row r="88" spans="1:12" ht="30" customHeight="1">
      <c r="A88" s="205">
        <v>43</v>
      </c>
      <c r="B88" s="174" t="s">
        <v>754</v>
      </c>
      <c r="C88" s="187" t="s">
        <v>218</v>
      </c>
      <c r="D88" s="62" t="s">
        <v>759</v>
      </c>
      <c r="E88" s="2" t="s">
        <v>752</v>
      </c>
      <c r="F88" s="61" t="s">
        <v>753</v>
      </c>
      <c r="G88" s="63" t="s">
        <v>157</v>
      </c>
      <c r="H88" s="167">
        <f>LEN(B88)-LEN(SUBSTITUTE(B88,",",""))+1</f>
        <v>1</v>
      </c>
      <c r="I88" s="169" t="s">
        <v>213</v>
      </c>
    </row>
    <row r="89" spans="1:12" ht="30" customHeight="1">
      <c r="A89" s="206"/>
      <c r="B89" s="174"/>
      <c r="C89" s="187"/>
      <c r="D89" s="9"/>
      <c r="E89" s="8"/>
      <c r="F89" s="8"/>
      <c r="G89" s="9"/>
      <c r="H89" s="171"/>
      <c r="I89" s="169"/>
    </row>
    <row r="90" spans="1:12" ht="30" customHeight="1">
      <c r="A90" s="205">
        <v>44</v>
      </c>
      <c r="B90" s="174" t="s">
        <v>746</v>
      </c>
      <c r="C90" s="187" t="s">
        <v>738</v>
      </c>
      <c r="D90" s="62" t="s">
        <v>739</v>
      </c>
      <c r="E90" s="2" t="s">
        <v>740</v>
      </c>
      <c r="F90" s="61" t="s">
        <v>741</v>
      </c>
      <c r="G90" s="63" t="s">
        <v>158</v>
      </c>
      <c r="H90" s="167">
        <f>LEN(B90)-LEN(SUBSTITUTE(B90,",",""))+1</f>
        <v>1</v>
      </c>
      <c r="I90" s="169" t="s">
        <v>213</v>
      </c>
      <c r="J90" s="3"/>
      <c r="K90" s="3"/>
      <c r="L90" s="3"/>
    </row>
    <row r="91" spans="1:12" ht="30" customHeight="1">
      <c r="A91" s="206"/>
      <c r="B91" s="174"/>
      <c r="C91" s="187"/>
      <c r="D91" s="9" t="s">
        <v>1124</v>
      </c>
      <c r="E91" s="8" t="s">
        <v>1125</v>
      </c>
      <c r="F91" s="8" t="s">
        <v>1126</v>
      </c>
      <c r="G91" s="9" t="s">
        <v>1127</v>
      </c>
      <c r="H91" s="171"/>
      <c r="I91" s="169"/>
      <c r="J91" s="3"/>
      <c r="K91" s="3"/>
      <c r="L91" s="3"/>
    </row>
    <row r="92" spans="1:12" ht="30" customHeight="1">
      <c r="A92" s="157">
        <v>45</v>
      </c>
      <c r="B92" s="219" t="s">
        <v>221</v>
      </c>
      <c r="C92" s="187" t="s">
        <v>159</v>
      </c>
      <c r="D92" s="65" t="s">
        <v>1315</v>
      </c>
      <c r="E92" s="1" t="s">
        <v>1067</v>
      </c>
      <c r="F92" s="66" t="s">
        <v>1313</v>
      </c>
      <c r="G92" s="11" t="s">
        <v>1314</v>
      </c>
      <c r="H92" s="167">
        <f>LEN(B92)-LEN(SUBSTITUTE(B92,",",""))+1</f>
        <v>1</v>
      </c>
      <c r="I92" s="184" t="s">
        <v>222</v>
      </c>
      <c r="J92" s="3"/>
      <c r="K92" s="3"/>
      <c r="L92" s="3"/>
    </row>
    <row r="93" spans="1:12" ht="30" customHeight="1">
      <c r="A93" s="157"/>
      <c r="B93" s="219"/>
      <c r="C93" s="187"/>
      <c r="D93" s="65" t="s">
        <v>1315</v>
      </c>
      <c r="E93" s="1" t="s">
        <v>1316</v>
      </c>
      <c r="F93" s="66" t="s">
        <v>1317</v>
      </c>
      <c r="G93" s="11" t="s">
        <v>1477</v>
      </c>
      <c r="H93" s="171"/>
      <c r="I93" s="184"/>
    </row>
    <row r="94" spans="1:12" ht="30" customHeight="1">
      <c r="A94" s="157"/>
      <c r="B94" s="209" t="s">
        <v>1567</v>
      </c>
      <c r="C94" s="170" t="s">
        <v>589</v>
      </c>
      <c r="D94" s="101" t="s">
        <v>1835</v>
      </c>
      <c r="E94" s="86" t="s">
        <v>661</v>
      </c>
      <c r="F94" s="97" t="s">
        <v>658</v>
      </c>
      <c r="G94" s="89" t="s">
        <v>508</v>
      </c>
      <c r="H94" s="177">
        <f>LEN(B94)-LEN(SUBSTITUTE(B94,",",""))+1</f>
        <v>2</v>
      </c>
      <c r="I94" s="183" t="s">
        <v>223</v>
      </c>
    </row>
    <row r="95" spans="1:12" ht="30" customHeight="1">
      <c r="A95" s="157"/>
      <c r="B95" s="209"/>
      <c r="C95" s="170"/>
      <c r="D95" s="145" t="s">
        <v>1488</v>
      </c>
      <c r="E95" s="146" t="s">
        <v>1491</v>
      </c>
      <c r="F95" s="147" t="s">
        <v>657</v>
      </c>
      <c r="G95" s="148" t="s">
        <v>21</v>
      </c>
      <c r="H95" s="178"/>
      <c r="I95" s="183"/>
    </row>
    <row r="96" spans="1:12" ht="30" customHeight="1">
      <c r="A96" s="157"/>
      <c r="B96" s="174" t="s">
        <v>946</v>
      </c>
      <c r="C96" s="176" t="s">
        <v>160</v>
      </c>
      <c r="D96" s="65" t="s">
        <v>1836</v>
      </c>
      <c r="E96" s="1" t="s">
        <v>224</v>
      </c>
      <c r="F96" s="66" t="s">
        <v>225</v>
      </c>
      <c r="G96" s="67" t="s">
        <v>226</v>
      </c>
      <c r="H96" s="176" t="s">
        <v>227</v>
      </c>
      <c r="I96" s="184" t="s">
        <v>223</v>
      </c>
    </row>
    <row r="97" spans="1:12" ht="30" customHeight="1">
      <c r="A97" s="157"/>
      <c r="B97" s="174"/>
      <c r="C97" s="176"/>
      <c r="D97" s="65" t="s">
        <v>726</v>
      </c>
      <c r="E97" s="1" t="s">
        <v>228</v>
      </c>
      <c r="F97" s="66" t="s">
        <v>229</v>
      </c>
      <c r="G97" s="67" t="s">
        <v>230</v>
      </c>
      <c r="H97" s="176"/>
      <c r="I97" s="184"/>
    </row>
    <row r="98" spans="1:12" s="3" customFormat="1" ht="30" customHeight="1">
      <c r="A98" s="157"/>
      <c r="B98" s="164" t="s">
        <v>1899</v>
      </c>
      <c r="C98" s="163" t="s">
        <v>1900</v>
      </c>
      <c r="D98" s="127" t="s">
        <v>1902</v>
      </c>
      <c r="E98" s="1" t="s">
        <v>1903</v>
      </c>
      <c r="F98" s="1" t="s">
        <v>1904</v>
      </c>
      <c r="G98" s="127" t="s">
        <v>1905</v>
      </c>
      <c r="H98" s="167">
        <f t="shared" ref="H98" si="1">LEN(B98)-LEN(SUBSTITUTE(B98,",",""))+1</f>
        <v>2</v>
      </c>
      <c r="I98" s="226" t="s">
        <v>1906</v>
      </c>
      <c r="J98" s="10"/>
      <c r="K98" s="10"/>
      <c r="L98" s="10"/>
    </row>
    <row r="99" spans="1:12" s="3" customFormat="1" ht="30" customHeight="1">
      <c r="A99" s="157"/>
      <c r="B99" s="166"/>
      <c r="C99" s="163"/>
      <c r="D99" s="127" t="s">
        <v>1901</v>
      </c>
      <c r="E99" s="1" t="s">
        <v>1907</v>
      </c>
      <c r="F99" s="1" t="s">
        <v>1908</v>
      </c>
      <c r="G99" s="129"/>
      <c r="H99" s="171"/>
      <c r="I99" s="227"/>
      <c r="J99" s="10"/>
      <c r="K99" s="10"/>
      <c r="L99" s="10"/>
    </row>
    <row r="100" spans="1:12" s="3" customFormat="1" ht="30" customHeight="1">
      <c r="A100" s="157">
        <v>46</v>
      </c>
      <c r="B100" s="219" t="s">
        <v>747</v>
      </c>
      <c r="C100" s="187" t="s">
        <v>159</v>
      </c>
      <c r="D100" s="65" t="s">
        <v>1837</v>
      </c>
      <c r="E100" s="2" t="s">
        <v>1064</v>
      </c>
      <c r="F100" s="61" t="s">
        <v>1065</v>
      </c>
      <c r="G100" s="11" t="s">
        <v>938</v>
      </c>
      <c r="H100" s="167">
        <f t="shared" ref="H100:H104" si="2">LEN(B100)-LEN(SUBSTITUTE(B100,",",""))+1</f>
        <v>1</v>
      </c>
      <c r="I100" s="184" t="s">
        <v>222</v>
      </c>
      <c r="J100" s="10"/>
      <c r="K100" s="10"/>
      <c r="L100" s="10"/>
    </row>
    <row r="101" spans="1:12" ht="30" customHeight="1">
      <c r="A101" s="157"/>
      <c r="B101" s="219"/>
      <c r="C101" s="187"/>
      <c r="D101" s="65" t="s">
        <v>1063</v>
      </c>
      <c r="E101" s="2" t="s">
        <v>1064</v>
      </c>
      <c r="F101" s="61" t="s">
        <v>1065</v>
      </c>
      <c r="G101" s="11" t="s">
        <v>1477</v>
      </c>
      <c r="H101" s="171"/>
      <c r="I101" s="184"/>
    </row>
    <row r="102" spans="1:12" ht="30" customHeight="1">
      <c r="A102" s="157"/>
      <c r="B102" s="209" t="s">
        <v>1568</v>
      </c>
      <c r="C102" s="170" t="s">
        <v>231</v>
      </c>
      <c r="D102" s="101" t="s">
        <v>1838</v>
      </c>
      <c r="E102" s="75" t="s">
        <v>786</v>
      </c>
      <c r="F102" s="76" t="s">
        <v>722</v>
      </c>
      <c r="G102" s="77" t="s">
        <v>243</v>
      </c>
      <c r="H102" s="177">
        <f t="shared" si="2"/>
        <v>1</v>
      </c>
      <c r="I102" s="183" t="s">
        <v>222</v>
      </c>
    </row>
    <row r="103" spans="1:12" ht="30" customHeight="1">
      <c r="A103" s="157"/>
      <c r="B103" s="209"/>
      <c r="C103" s="170"/>
      <c r="D103" s="101" t="s">
        <v>799</v>
      </c>
      <c r="E103" s="75" t="s">
        <v>770</v>
      </c>
      <c r="F103" s="76" t="s">
        <v>771</v>
      </c>
      <c r="G103" s="74" t="s">
        <v>676</v>
      </c>
      <c r="H103" s="186"/>
      <c r="I103" s="183"/>
    </row>
    <row r="104" spans="1:12" ht="30" customHeight="1">
      <c r="A104" s="157"/>
      <c r="B104" s="209" t="s">
        <v>951</v>
      </c>
      <c r="C104" s="170" t="s">
        <v>972</v>
      </c>
      <c r="D104" s="80" t="s">
        <v>1839</v>
      </c>
      <c r="E104" s="81" t="s">
        <v>1397</v>
      </c>
      <c r="F104" s="81" t="s">
        <v>1398</v>
      </c>
      <c r="G104" s="80" t="s">
        <v>569</v>
      </c>
      <c r="H104" s="177">
        <f t="shared" si="2"/>
        <v>2</v>
      </c>
      <c r="I104" s="230" t="s">
        <v>222</v>
      </c>
    </row>
    <row r="105" spans="1:12" ht="30" customHeight="1">
      <c r="A105" s="157"/>
      <c r="B105" s="209"/>
      <c r="C105" s="170"/>
      <c r="D105" s="80" t="s">
        <v>1399</v>
      </c>
      <c r="E105" s="81" t="s">
        <v>1400</v>
      </c>
      <c r="F105" s="81" t="s">
        <v>1401</v>
      </c>
      <c r="G105" s="80" t="s">
        <v>1076</v>
      </c>
      <c r="H105" s="186"/>
      <c r="I105" s="231"/>
    </row>
    <row r="106" spans="1:12" ht="30" customHeight="1">
      <c r="A106" s="157"/>
      <c r="B106" s="175" t="s">
        <v>952</v>
      </c>
      <c r="C106" s="176" t="s">
        <v>160</v>
      </c>
      <c r="D106" s="65" t="s">
        <v>1836</v>
      </c>
      <c r="E106" s="1" t="s">
        <v>232</v>
      </c>
      <c r="F106" s="66" t="s">
        <v>233</v>
      </c>
      <c r="G106" s="67" t="s">
        <v>200</v>
      </c>
      <c r="H106" s="176" t="s">
        <v>234</v>
      </c>
      <c r="I106" s="184" t="s">
        <v>235</v>
      </c>
    </row>
    <row r="107" spans="1:12" ht="30" customHeight="1">
      <c r="A107" s="157"/>
      <c r="B107" s="175"/>
      <c r="C107" s="176"/>
      <c r="D107" s="65" t="s">
        <v>726</v>
      </c>
      <c r="E107" s="1" t="s">
        <v>236</v>
      </c>
      <c r="F107" s="66" t="s">
        <v>237</v>
      </c>
      <c r="G107" s="67" t="s">
        <v>238</v>
      </c>
      <c r="H107" s="176"/>
      <c r="I107" s="184"/>
    </row>
    <row r="108" spans="1:12" ht="30" customHeight="1">
      <c r="A108" s="157"/>
      <c r="B108" s="228" t="s">
        <v>1909</v>
      </c>
      <c r="C108" s="167" t="s">
        <v>161</v>
      </c>
      <c r="D108" s="127" t="s">
        <v>1910</v>
      </c>
      <c r="E108" s="1" t="s">
        <v>1911</v>
      </c>
      <c r="F108" s="128" t="s">
        <v>1912</v>
      </c>
      <c r="G108" s="129" t="s">
        <v>1913</v>
      </c>
      <c r="H108" s="167">
        <f>LEN(B108)-LEN(SUBSTITUTE(B108,",",""))+1</f>
        <v>3</v>
      </c>
      <c r="I108" s="226" t="s">
        <v>222</v>
      </c>
    </row>
    <row r="109" spans="1:12" ht="30" customHeight="1">
      <c r="A109" s="157"/>
      <c r="B109" s="229"/>
      <c r="C109" s="171"/>
      <c r="D109" s="127" t="s">
        <v>1914</v>
      </c>
      <c r="E109" s="1" t="s">
        <v>1700</v>
      </c>
      <c r="F109" s="128" t="s">
        <v>1699</v>
      </c>
      <c r="G109" s="129" t="s">
        <v>1916</v>
      </c>
      <c r="H109" s="171"/>
      <c r="I109" s="227"/>
    </row>
    <row r="110" spans="1:12" ht="30" customHeight="1">
      <c r="A110" s="157">
        <v>47</v>
      </c>
      <c r="B110" s="219" t="s">
        <v>748</v>
      </c>
      <c r="C110" s="187" t="s">
        <v>159</v>
      </c>
      <c r="D110" s="65" t="s">
        <v>1840</v>
      </c>
      <c r="E110" s="36" t="s">
        <v>1319</v>
      </c>
      <c r="F110" s="2" t="s">
        <v>1320</v>
      </c>
      <c r="G110" s="11" t="s">
        <v>1321</v>
      </c>
      <c r="H110" s="167">
        <f>LEN(B110)-LEN(SUBSTITUTE(B110,",",""))+1</f>
        <v>1</v>
      </c>
      <c r="I110" s="184" t="s">
        <v>222</v>
      </c>
    </row>
    <row r="111" spans="1:12" ht="30" customHeight="1">
      <c r="A111" s="157"/>
      <c r="B111" s="219"/>
      <c r="C111" s="187"/>
      <c r="D111" s="65" t="s">
        <v>1318</v>
      </c>
      <c r="E111" s="36" t="s">
        <v>1319</v>
      </c>
      <c r="F111" s="2" t="s">
        <v>1320</v>
      </c>
      <c r="G111" s="11" t="s">
        <v>1477</v>
      </c>
      <c r="H111" s="171"/>
      <c r="I111" s="184"/>
    </row>
    <row r="112" spans="1:12" ht="30" customHeight="1">
      <c r="A112" s="157"/>
      <c r="B112" s="210" t="s">
        <v>1569</v>
      </c>
      <c r="C112" s="170" t="s">
        <v>239</v>
      </c>
      <c r="D112" s="80" t="s">
        <v>1839</v>
      </c>
      <c r="E112" s="81" t="s">
        <v>1402</v>
      </c>
      <c r="F112" s="81" t="s">
        <v>1398</v>
      </c>
      <c r="G112" s="80" t="s">
        <v>569</v>
      </c>
      <c r="H112" s="177">
        <f>LEN(B112)-LEN(SUBSTITUTE(B112,",",""))+1</f>
        <v>2</v>
      </c>
      <c r="I112" s="230" t="s">
        <v>222</v>
      </c>
    </row>
    <row r="113" spans="1:9" ht="30" customHeight="1">
      <c r="A113" s="157"/>
      <c r="B113" s="211"/>
      <c r="C113" s="170"/>
      <c r="D113" s="80" t="s">
        <v>1399</v>
      </c>
      <c r="E113" s="81" t="s">
        <v>1400</v>
      </c>
      <c r="F113" s="81" t="s">
        <v>1401</v>
      </c>
      <c r="G113" s="80" t="s">
        <v>1076</v>
      </c>
      <c r="H113" s="186"/>
      <c r="I113" s="231"/>
    </row>
    <row r="114" spans="1:9" ht="30" customHeight="1">
      <c r="A114" s="157"/>
      <c r="B114" s="175" t="s">
        <v>240</v>
      </c>
      <c r="C114" s="176" t="s">
        <v>160</v>
      </c>
      <c r="D114" s="65" t="s">
        <v>1841</v>
      </c>
      <c r="E114" s="1" t="s">
        <v>224</v>
      </c>
      <c r="F114" s="66" t="s">
        <v>241</v>
      </c>
      <c r="G114" s="67" t="s">
        <v>198</v>
      </c>
      <c r="H114" s="176" t="s">
        <v>242</v>
      </c>
      <c r="I114" s="184" t="s">
        <v>222</v>
      </c>
    </row>
    <row r="115" spans="1:9" ht="30" customHeight="1">
      <c r="A115" s="157"/>
      <c r="B115" s="175"/>
      <c r="C115" s="176"/>
      <c r="D115" s="65" t="s">
        <v>727</v>
      </c>
      <c r="E115" s="1" t="s">
        <v>228</v>
      </c>
      <c r="F115" s="66" t="s">
        <v>229</v>
      </c>
      <c r="G115" s="67" t="s">
        <v>230</v>
      </c>
      <c r="H115" s="176"/>
      <c r="I115" s="184"/>
    </row>
    <row r="116" spans="1:9" ht="30" customHeight="1">
      <c r="A116" s="157"/>
      <c r="B116" s="175" t="s">
        <v>1917</v>
      </c>
      <c r="C116" s="163" t="s">
        <v>161</v>
      </c>
      <c r="D116" s="127" t="s">
        <v>1918</v>
      </c>
      <c r="E116" s="1" t="s">
        <v>1919</v>
      </c>
      <c r="F116" s="128" t="s">
        <v>1920</v>
      </c>
      <c r="G116" s="129" t="s">
        <v>1921</v>
      </c>
      <c r="H116" s="167">
        <f>LEN(B116)-LEN(SUBSTITUTE(B116,",",""))+1</f>
        <v>2</v>
      </c>
      <c r="I116" s="184" t="s">
        <v>1922</v>
      </c>
    </row>
    <row r="117" spans="1:9" ht="30" customHeight="1">
      <c r="A117" s="157"/>
      <c r="B117" s="175"/>
      <c r="C117" s="163"/>
      <c r="D117" s="127" t="s">
        <v>1923</v>
      </c>
      <c r="E117" s="1" t="s">
        <v>1924</v>
      </c>
      <c r="F117" s="128" t="s">
        <v>1925</v>
      </c>
      <c r="G117" s="129" t="s">
        <v>1916</v>
      </c>
      <c r="H117" s="171"/>
      <c r="I117" s="184"/>
    </row>
    <row r="118" spans="1:9" ht="30" customHeight="1">
      <c r="A118" s="157">
        <v>48</v>
      </c>
      <c r="B118" s="219" t="s">
        <v>749</v>
      </c>
      <c r="C118" s="187" t="s">
        <v>159</v>
      </c>
      <c r="D118" s="65" t="s">
        <v>1322</v>
      </c>
      <c r="E118" s="1" t="s">
        <v>1323</v>
      </c>
      <c r="F118" s="61" t="s">
        <v>1324</v>
      </c>
      <c r="G118" s="11" t="s">
        <v>938</v>
      </c>
      <c r="H118" s="167">
        <f>LEN(B118)-LEN(SUBSTITUTE(B118,",",""))+1</f>
        <v>1</v>
      </c>
      <c r="I118" s="184" t="s">
        <v>824</v>
      </c>
    </row>
    <row r="119" spans="1:9" ht="30" customHeight="1">
      <c r="A119" s="157"/>
      <c r="B119" s="219"/>
      <c r="C119" s="187"/>
      <c r="D119" s="65" t="s">
        <v>1322</v>
      </c>
      <c r="E119" s="1" t="s">
        <v>1323</v>
      </c>
      <c r="F119" s="61" t="s">
        <v>1324</v>
      </c>
      <c r="G119" s="11" t="s">
        <v>1477</v>
      </c>
      <c r="H119" s="171"/>
      <c r="I119" s="184"/>
    </row>
    <row r="120" spans="1:9" ht="30" customHeight="1">
      <c r="A120" s="157"/>
      <c r="B120" s="209" t="s">
        <v>825</v>
      </c>
      <c r="C120" s="192" t="s">
        <v>826</v>
      </c>
      <c r="D120" s="101" t="s">
        <v>827</v>
      </c>
      <c r="E120" s="102" t="s">
        <v>725</v>
      </c>
      <c r="F120" s="97" t="s">
        <v>828</v>
      </c>
      <c r="G120" s="104" t="s">
        <v>829</v>
      </c>
      <c r="H120" s="177">
        <f>LEN(B120)-LEN(SUBSTITUTE(B120,",",""))+1</f>
        <v>1</v>
      </c>
      <c r="I120" s="183" t="s">
        <v>222</v>
      </c>
    </row>
    <row r="121" spans="1:9" ht="30" customHeight="1">
      <c r="A121" s="157"/>
      <c r="B121" s="209"/>
      <c r="C121" s="192"/>
      <c r="D121" s="101" t="s">
        <v>830</v>
      </c>
      <c r="E121" s="102" t="s">
        <v>831</v>
      </c>
      <c r="F121" s="97" t="s">
        <v>162</v>
      </c>
      <c r="G121" s="104" t="s">
        <v>662</v>
      </c>
      <c r="H121" s="186"/>
      <c r="I121" s="183"/>
    </row>
    <row r="122" spans="1:9" ht="30" customHeight="1">
      <c r="A122" s="157"/>
      <c r="B122" s="209" t="s">
        <v>1572</v>
      </c>
      <c r="C122" s="170" t="s">
        <v>568</v>
      </c>
      <c r="D122" s="80" t="s">
        <v>1842</v>
      </c>
      <c r="E122" s="105" t="s">
        <v>1103</v>
      </c>
      <c r="F122" s="106" t="s">
        <v>163</v>
      </c>
      <c r="G122" s="83" t="s">
        <v>21</v>
      </c>
      <c r="H122" s="177">
        <f>LEN(B122)-LEN(SUBSTITUTE(B122,",",""))+1</f>
        <v>3</v>
      </c>
      <c r="I122" s="183" t="s">
        <v>222</v>
      </c>
    </row>
    <row r="123" spans="1:9" ht="30" customHeight="1">
      <c r="A123" s="157"/>
      <c r="B123" s="209"/>
      <c r="C123" s="170"/>
      <c r="D123" s="101" t="s">
        <v>1093</v>
      </c>
      <c r="E123" s="102" t="s">
        <v>1106</v>
      </c>
      <c r="F123" s="107" t="s">
        <v>1092</v>
      </c>
      <c r="G123" s="77" t="s">
        <v>1096</v>
      </c>
      <c r="H123" s="186"/>
      <c r="I123" s="183"/>
    </row>
    <row r="124" spans="1:9" ht="30" customHeight="1">
      <c r="A124" s="157"/>
      <c r="B124" s="210" t="s">
        <v>1573</v>
      </c>
      <c r="C124" s="170" t="s">
        <v>568</v>
      </c>
      <c r="D124" s="101" t="s">
        <v>955</v>
      </c>
      <c r="E124" s="102" t="s">
        <v>956</v>
      </c>
      <c r="F124" s="97" t="s">
        <v>957</v>
      </c>
      <c r="G124" s="89" t="s">
        <v>21</v>
      </c>
      <c r="H124" s="177">
        <f>LEN(B124)-LEN(SUBSTITUTE(B124,",",""))+1</f>
        <v>1</v>
      </c>
      <c r="I124" s="183" t="s">
        <v>958</v>
      </c>
    </row>
    <row r="125" spans="1:9" ht="30" customHeight="1">
      <c r="A125" s="157"/>
      <c r="B125" s="211"/>
      <c r="C125" s="170"/>
      <c r="D125" s="141" t="s">
        <v>1496</v>
      </c>
      <c r="E125" s="142" t="s">
        <v>1497</v>
      </c>
      <c r="F125" s="143" t="s">
        <v>1498</v>
      </c>
      <c r="G125" s="144" t="s">
        <v>1499</v>
      </c>
      <c r="H125" s="186"/>
      <c r="I125" s="183"/>
    </row>
    <row r="126" spans="1:9" ht="30" customHeight="1">
      <c r="A126" s="157"/>
      <c r="B126" s="175" t="s">
        <v>1026</v>
      </c>
      <c r="C126" s="176" t="s">
        <v>160</v>
      </c>
      <c r="D126" s="65" t="s">
        <v>1843</v>
      </c>
      <c r="E126" s="1" t="s">
        <v>232</v>
      </c>
      <c r="F126" s="66" t="s">
        <v>832</v>
      </c>
      <c r="G126" s="67" t="s">
        <v>200</v>
      </c>
      <c r="H126" s="176" t="s">
        <v>251</v>
      </c>
      <c r="I126" s="184" t="s">
        <v>222</v>
      </c>
    </row>
    <row r="127" spans="1:9" ht="30" customHeight="1">
      <c r="A127" s="157"/>
      <c r="B127" s="175"/>
      <c r="C127" s="176"/>
      <c r="D127" s="65" t="s">
        <v>726</v>
      </c>
      <c r="E127" s="1" t="s">
        <v>833</v>
      </c>
      <c r="F127" s="66" t="s">
        <v>834</v>
      </c>
      <c r="G127" s="67" t="s">
        <v>835</v>
      </c>
      <c r="H127" s="176"/>
      <c r="I127" s="184"/>
    </row>
    <row r="128" spans="1:9" ht="30" customHeight="1">
      <c r="A128" s="157"/>
      <c r="B128" s="175" t="s">
        <v>1926</v>
      </c>
      <c r="C128" s="163" t="s">
        <v>161</v>
      </c>
      <c r="D128" s="127" t="s">
        <v>1918</v>
      </c>
      <c r="E128" s="1" t="s">
        <v>1927</v>
      </c>
      <c r="F128" s="128" t="s">
        <v>1928</v>
      </c>
      <c r="G128" s="129" t="s">
        <v>1701</v>
      </c>
      <c r="H128" s="167">
        <f>LEN(B128)-LEN(SUBSTITUTE(B128,",",""))+1</f>
        <v>5</v>
      </c>
      <c r="I128" s="184" t="s">
        <v>1929</v>
      </c>
    </row>
    <row r="129" spans="1:9" ht="30" customHeight="1">
      <c r="A129" s="157"/>
      <c r="B129" s="175"/>
      <c r="C129" s="163"/>
      <c r="D129" s="127" t="s">
        <v>1930</v>
      </c>
      <c r="E129" s="1" t="s">
        <v>1931</v>
      </c>
      <c r="F129" s="128" t="s">
        <v>1912</v>
      </c>
      <c r="G129" s="129" t="s">
        <v>1932</v>
      </c>
      <c r="H129" s="171"/>
      <c r="I129" s="184"/>
    </row>
    <row r="130" spans="1:9" ht="30" customHeight="1">
      <c r="A130" s="157">
        <v>49</v>
      </c>
      <c r="B130" s="219" t="s">
        <v>750</v>
      </c>
      <c r="C130" s="187" t="s">
        <v>159</v>
      </c>
      <c r="D130" s="65" t="s">
        <v>1844</v>
      </c>
      <c r="E130" s="2" t="s">
        <v>1325</v>
      </c>
      <c r="F130" s="61" t="s">
        <v>1326</v>
      </c>
      <c r="G130" s="11" t="s">
        <v>1312</v>
      </c>
      <c r="H130" s="167">
        <f>LEN(B130)-LEN(SUBSTITUTE(B130,",",""))+1</f>
        <v>1</v>
      </c>
      <c r="I130" s="184" t="s">
        <v>235</v>
      </c>
    </row>
    <row r="131" spans="1:9" ht="30" customHeight="1">
      <c r="A131" s="157"/>
      <c r="B131" s="219"/>
      <c r="C131" s="187"/>
      <c r="D131" s="65" t="s">
        <v>1066</v>
      </c>
      <c r="E131" s="2" t="s">
        <v>1325</v>
      </c>
      <c r="F131" s="61" t="s">
        <v>1326</v>
      </c>
      <c r="G131" s="11" t="s">
        <v>1477</v>
      </c>
      <c r="H131" s="171"/>
      <c r="I131" s="184"/>
    </row>
    <row r="132" spans="1:9" ht="30" customHeight="1">
      <c r="A132" s="157"/>
      <c r="B132" s="210" t="s">
        <v>1574</v>
      </c>
      <c r="C132" s="170" t="s">
        <v>250</v>
      </c>
      <c r="D132" s="101" t="s">
        <v>1845</v>
      </c>
      <c r="E132" s="102" t="s">
        <v>1403</v>
      </c>
      <c r="F132" s="97" t="s">
        <v>1404</v>
      </c>
      <c r="G132" s="89" t="s">
        <v>21</v>
      </c>
      <c r="H132" s="177">
        <f>LEN(B132)-LEN(SUBSTITUTE(B132,",",""))+1</f>
        <v>4</v>
      </c>
      <c r="I132" s="183" t="s">
        <v>235</v>
      </c>
    </row>
    <row r="133" spans="1:9" ht="30" customHeight="1">
      <c r="A133" s="157"/>
      <c r="B133" s="211"/>
      <c r="C133" s="170"/>
      <c r="D133" s="141" t="s">
        <v>1496</v>
      </c>
      <c r="E133" s="142" t="s">
        <v>1497</v>
      </c>
      <c r="F133" s="143" t="s">
        <v>1498</v>
      </c>
      <c r="G133" s="144" t="s">
        <v>1499</v>
      </c>
      <c r="H133" s="186"/>
      <c r="I133" s="183"/>
    </row>
    <row r="134" spans="1:9" ht="30" customHeight="1">
      <c r="A134" s="157"/>
      <c r="B134" s="175" t="s">
        <v>665</v>
      </c>
      <c r="C134" s="176" t="s">
        <v>160</v>
      </c>
      <c r="D134" s="65" t="s">
        <v>1846</v>
      </c>
      <c r="E134" s="1" t="s">
        <v>245</v>
      </c>
      <c r="F134" s="66" t="s">
        <v>225</v>
      </c>
      <c r="G134" s="67" t="s">
        <v>226</v>
      </c>
      <c r="H134" s="176" t="s">
        <v>252</v>
      </c>
      <c r="I134" s="184" t="s">
        <v>223</v>
      </c>
    </row>
    <row r="135" spans="1:9" ht="30" customHeight="1">
      <c r="A135" s="157"/>
      <c r="B135" s="175"/>
      <c r="C135" s="176"/>
      <c r="D135" s="65" t="s">
        <v>726</v>
      </c>
      <c r="E135" s="1" t="s">
        <v>246</v>
      </c>
      <c r="F135" s="66" t="s">
        <v>247</v>
      </c>
      <c r="G135" s="67" t="s">
        <v>248</v>
      </c>
      <c r="H135" s="176"/>
      <c r="I135" s="184"/>
    </row>
    <row r="136" spans="1:9" ht="30" customHeight="1">
      <c r="A136" s="157"/>
      <c r="B136" s="175" t="s">
        <v>1933</v>
      </c>
      <c r="C136" s="163" t="s">
        <v>161</v>
      </c>
      <c r="D136" s="127" t="s">
        <v>1918</v>
      </c>
      <c r="E136" s="1" t="s">
        <v>1934</v>
      </c>
      <c r="F136" s="128" t="s">
        <v>1935</v>
      </c>
      <c r="G136" s="129" t="s">
        <v>1936</v>
      </c>
      <c r="H136" s="167">
        <f>LEN(B136)-LEN(SUBSTITUTE(B136,",",""))+1</f>
        <v>4</v>
      </c>
      <c r="I136" s="184" t="s">
        <v>222</v>
      </c>
    </row>
    <row r="137" spans="1:9" ht="30" customHeight="1">
      <c r="A137" s="157"/>
      <c r="B137" s="175"/>
      <c r="C137" s="163"/>
      <c r="D137" s="127" t="s">
        <v>1914</v>
      </c>
      <c r="E137" s="1" t="s">
        <v>1937</v>
      </c>
      <c r="F137" s="128" t="s">
        <v>1938</v>
      </c>
      <c r="G137" s="129" t="s">
        <v>1915</v>
      </c>
      <c r="H137" s="171"/>
      <c r="I137" s="184"/>
    </row>
    <row r="138" spans="1:9" ht="30" customHeight="1">
      <c r="A138" s="157">
        <v>50</v>
      </c>
      <c r="B138" s="174" t="s">
        <v>652</v>
      </c>
      <c r="C138" s="187" t="s">
        <v>1703</v>
      </c>
      <c r="D138" s="65" t="s">
        <v>659</v>
      </c>
      <c r="E138" s="1" t="s">
        <v>939</v>
      </c>
      <c r="F138" s="66" t="s">
        <v>940</v>
      </c>
      <c r="G138" s="67" t="s">
        <v>663</v>
      </c>
      <c r="H138" s="167">
        <f>LEN(B138)-LEN(SUBSTITUTE(B138,",",""))+1</f>
        <v>1</v>
      </c>
      <c r="I138" s="169" t="s">
        <v>254</v>
      </c>
    </row>
    <row r="139" spans="1:9" ht="30" customHeight="1">
      <c r="A139" s="157"/>
      <c r="B139" s="174"/>
      <c r="C139" s="187"/>
      <c r="D139" s="63"/>
      <c r="E139" s="4"/>
      <c r="F139" s="5"/>
      <c r="G139" s="62"/>
      <c r="H139" s="171"/>
      <c r="I139" s="169"/>
    </row>
    <row r="140" spans="1:9" ht="30" customHeight="1">
      <c r="A140" s="157">
        <v>51</v>
      </c>
      <c r="B140" s="174" t="s">
        <v>651</v>
      </c>
      <c r="C140" s="173" t="s">
        <v>1702</v>
      </c>
      <c r="D140" s="65" t="s">
        <v>1308</v>
      </c>
      <c r="E140" s="1" t="s">
        <v>1309</v>
      </c>
      <c r="F140" s="66" t="s">
        <v>1310</v>
      </c>
      <c r="G140" s="67" t="s">
        <v>648</v>
      </c>
      <c r="H140" s="167">
        <f>LEN(B140)-LEN(SUBSTITUTE(B140,",",""))+1</f>
        <v>1</v>
      </c>
      <c r="I140" s="169" t="s">
        <v>254</v>
      </c>
    </row>
    <row r="141" spans="1:9" ht="30" customHeight="1">
      <c r="A141" s="157"/>
      <c r="B141" s="174"/>
      <c r="C141" s="173"/>
      <c r="D141" s="64"/>
      <c r="E141" s="2"/>
      <c r="F141" s="61"/>
      <c r="G141" s="63"/>
      <c r="H141" s="171"/>
      <c r="I141" s="169"/>
    </row>
    <row r="142" spans="1:9" ht="30" customHeight="1">
      <c r="A142" s="157">
        <v>52</v>
      </c>
      <c r="B142" s="174" t="s">
        <v>647</v>
      </c>
      <c r="C142" s="173" t="s">
        <v>255</v>
      </c>
      <c r="D142" s="72" t="s">
        <v>1304</v>
      </c>
      <c r="E142" s="61" t="s">
        <v>1305</v>
      </c>
      <c r="F142" s="61" t="s">
        <v>1306</v>
      </c>
      <c r="G142" s="62" t="s">
        <v>1307</v>
      </c>
      <c r="H142" s="167">
        <f>LEN(B142)-LEN(SUBSTITUTE(B142,",",""))+1</f>
        <v>1</v>
      </c>
      <c r="I142" s="169" t="s">
        <v>254</v>
      </c>
    </row>
    <row r="143" spans="1:9" ht="30" customHeight="1">
      <c r="A143" s="157"/>
      <c r="B143" s="174"/>
      <c r="C143" s="173"/>
      <c r="D143" s="64"/>
      <c r="E143" s="2"/>
      <c r="F143" s="61"/>
      <c r="G143" s="63"/>
      <c r="H143" s="171"/>
      <c r="I143" s="169"/>
    </row>
    <row r="144" spans="1:9" s="53" customFormat="1" ht="30" customHeight="1">
      <c r="A144" s="232">
        <v>53</v>
      </c>
      <c r="B144" s="209" t="s">
        <v>1043</v>
      </c>
      <c r="C144" s="192" t="s">
        <v>1044</v>
      </c>
      <c r="D144" s="74" t="s">
        <v>1045</v>
      </c>
      <c r="E144" s="97" t="s">
        <v>1046</v>
      </c>
      <c r="F144" s="97" t="s">
        <v>1047</v>
      </c>
      <c r="G144" s="74" t="s">
        <v>1048</v>
      </c>
      <c r="H144" s="177">
        <f>LEN(B144)-LEN(SUBSTITUTE(B144,",",""))+1</f>
        <v>2</v>
      </c>
      <c r="I144" s="185" t="s">
        <v>254</v>
      </c>
    </row>
    <row r="145" spans="1:12" s="53" customFormat="1" ht="30" customHeight="1">
      <c r="A145" s="232"/>
      <c r="B145" s="209"/>
      <c r="C145" s="192"/>
      <c r="D145" s="74" t="s">
        <v>1049</v>
      </c>
      <c r="E145" s="97" t="s">
        <v>1022</v>
      </c>
      <c r="F145" s="97" t="s">
        <v>1023</v>
      </c>
      <c r="G145" s="104" t="s">
        <v>1024</v>
      </c>
      <c r="H145" s="186"/>
      <c r="I145" s="185"/>
    </row>
    <row r="146" spans="1:12" s="53" customFormat="1" ht="30" customHeight="1">
      <c r="A146" s="232">
        <v>54</v>
      </c>
      <c r="B146" s="209" t="s">
        <v>1565</v>
      </c>
      <c r="C146" s="192" t="s">
        <v>1044</v>
      </c>
      <c r="D146" s="101" t="s">
        <v>1050</v>
      </c>
      <c r="E146" s="102" t="s">
        <v>1051</v>
      </c>
      <c r="F146" s="103" t="s">
        <v>1052</v>
      </c>
      <c r="G146" s="104" t="s">
        <v>243</v>
      </c>
      <c r="H146" s="177">
        <f>LEN(B146)-LEN(SUBSTITUTE(B146,",",""))+1</f>
        <v>4</v>
      </c>
      <c r="I146" s="185" t="s">
        <v>254</v>
      </c>
    </row>
    <row r="147" spans="1:12" s="53" customFormat="1" ht="30" customHeight="1">
      <c r="A147" s="232"/>
      <c r="B147" s="209"/>
      <c r="C147" s="192"/>
      <c r="D147" s="89" t="s">
        <v>1053</v>
      </c>
      <c r="E147" s="85" t="s">
        <v>1054</v>
      </c>
      <c r="F147" s="85" t="s">
        <v>1055</v>
      </c>
      <c r="G147" s="104" t="s">
        <v>1056</v>
      </c>
      <c r="H147" s="186"/>
      <c r="I147" s="185"/>
    </row>
    <row r="148" spans="1:12" s="53" customFormat="1" ht="30" customHeight="1">
      <c r="A148" s="232">
        <v>55</v>
      </c>
      <c r="B148" s="212" t="s">
        <v>1576</v>
      </c>
      <c r="C148" s="195" t="s">
        <v>239</v>
      </c>
      <c r="D148" s="108" t="s">
        <v>788</v>
      </c>
      <c r="E148" s="79" t="s">
        <v>258</v>
      </c>
      <c r="F148" s="97" t="s">
        <v>259</v>
      </c>
      <c r="G148" s="77" t="s">
        <v>35</v>
      </c>
      <c r="H148" s="177">
        <f>LEN(B148)-LEN(SUBSTITUTE(B148,",",""))+1</f>
        <v>10</v>
      </c>
      <c r="I148" s="185" t="s">
        <v>257</v>
      </c>
    </row>
    <row r="149" spans="1:12" s="53" customFormat="1" ht="30" customHeight="1">
      <c r="A149" s="232"/>
      <c r="B149" s="212"/>
      <c r="C149" s="195"/>
      <c r="D149" s="80" t="s">
        <v>1104</v>
      </c>
      <c r="E149" s="106" t="s">
        <v>1105</v>
      </c>
      <c r="F149" s="106" t="s">
        <v>13</v>
      </c>
      <c r="G149" s="83" t="s">
        <v>8</v>
      </c>
      <c r="H149" s="178"/>
      <c r="I149" s="185"/>
    </row>
    <row r="150" spans="1:12" s="53" customFormat="1" ht="30" customHeight="1">
      <c r="A150" s="232">
        <v>56</v>
      </c>
      <c r="B150" s="209" t="s">
        <v>755</v>
      </c>
      <c r="C150" s="188" t="s">
        <v>249</v>
      </c>
      <c r="D150" s="80" t="s">
        <v>948</v>
      </c>
      <c r="E150" s="82" t="s">
        <v>949</v>
      </c>
      <c r="F150" s="106" t="s">
        <v>950</v>
      </c>
      <c r="G150" s="83" t="s">
        <v>569</v>
      </c>
      <c r="H150" s="177">
        <f>LEN(B150)-LEN(SUBSTITUTE(B150,",",""))+1</f>
        <v>2</v>
      </c>
      <c r="I150" s="185" t="s">
        <v>660</v>
      </c>
    </row>
    <row r="151" spans="1:12" s="53" customFormat="1" ht="30" customHeight="1">
      <c r="A151" s="232"/>
      <c r="B151" s="209"/>
      <c r="C151" s="189"/>
      <c r="D151" s="80" t="s">
        <v>1087</v>
      </c>
      <c r="E151" s="81" t="s">
        <v>1088</v>
      </c>
      <c r="F151" s="81" t="s">
        <v>1089</v>
      </c>
      <c r="G151" s="80" t="s">
        <v>1076</v>
      </c>
      <c r="H151" s="186"/>
      <c r="I151" s="185"/>
    </row>
    <row r="152" spans="1:12" ht="30" customHeight="1">
      <c r="A152" s="157">
        <v>57</v>
      </c>
      <c r="B152" s="219" t="s">
        <v>1025</v>
      </c>
      <c r="C152" s="179" t="s">
        <v>260</v>
      </c>
      <c r="D152" s="62" t="s">
        <v>1710</v>
      </c>
      <c r="E152" s="6" t="s">
        <v>1107</v>
      </c>
      <c r="F152" s="7" t="s">
        <v>916</v>
      </c>
      <c r="G152" s="62" t="s">
        <v>917</v>
      </c>
      <c r="H152" s="167">
        <f>LEN(B152)-LEN(SUBSTITUTE(B152,",",""))+1</f>
        <v>1</v>
      </c>
      <c r="I152" s="169" t="s">
        <v>253</v>
      </c>
    </row>
    <row r="153" spans="1:12" ht="30" customHeight="1">
      <c r="A153" s="157"/>
      <c r="B153" s="219"/>
      <c r="C153" s="179"/>
      <c r="D153" s="62" t="s">
        <v>895</v>
      </c>
      <c r="E153" s="6" t="s">
        <v>915</v>
      </c>
      <c r="F153" s="7" t="s">
        <v>941</v>
      </c>
      <c r="G153" s="62" t="s">
        <v>243</v>
      </c>
      <c r="H153" s="168"/>
      <c r="I153" s="169"/>
    </row>
    <row r="154" spans="1:12" ht="30" customHeight="1">
      <c r="A154" s="157">
        <v>58</v>
      </c>
      <c r="B154" s="174" t="s">
        <v>1356</v>
      </c>
      <c r="C154" s="173" t="s">
        <v>261</v>
      </c>
      <c r="D154" s="62" t="s">
        <v>265</v>
      </c>
      <c r="E154" s="6" t="s">
        <v>1108</v>
      </c>
      <c r="F154" s="7" t="s">
        <v>266</v>
      </c>
      <c r="G154" s="62" t="s">
        <v>267</v>
      </c>
      <c r="H154" s="167">
        <f>LEN(B154)-LEN(SUBSTITUTE(B154,",",""))+1</f>
        <v>2</v>
      </c>
      <c r="I154" s="169" t="s">
        <v>254</v>
      </c>
    </row>
    <row r="155" spans="1:12" ht="30" customHeight="1">
      <c r="A155" s="157"/>
      <c r="B155" s="174"/>
      <c r="C155" s="173"/>
      <c r="D155" s="62" t="s">
        <v>262</v>
      </c>
      <c r="E155" s="6" t="s">
        <v>263</v>
      </c>
      <c r="F155" s="7" t="s">
        <v>264</v>
      </c>
      <c r="G155" s="62" t="s">
        <v>243</v>
      </c>
      <c r="H155" s="168"/>
      <c r="I155" s="169"/>
    </row>
    <row r="156" spans="1:12" ht="30" customHeight="1">
      <c r="A156" s="157">
        <v>59</v>
      </c>
      <c r="B156" s="174" t="s">
        <v>760</v>
      </c>
      <c r="C156" s="173" t="s">
        <v>261</v>
      </c>
      <c r="D156" s="65" t="s">
        <v>268</v>
      </c>
      <c r="E156" s="5" t="s">
        <v>269</v>
      </c>
      <c r="F156" s="5" t="s">
        <v>270</v>
      </c>
      <c r="G156" s="60" t="s">
        <v>244</v>
      </c>
      <c r="H156" s="167">
        <f>LEN(B156)-LEN(SUBSTITUTE(B156,",",""))+1</f>
        <v>1</v>
      </c>
      <c r="I156" s="169" t="s">
        <v>254</v>
      </c>
      <c r="J156" s="53"/>
      <c r="K156" s="53"/>
      <c r="L156" s="53"/>
    </row>
    <row r="157" spans="1:12" ht="30" customHeight="1">
      <c r="A157" s="157"/>
      <c r="B157" s="174"/>
      <c r="C157" s="173"/>
      <c r="D157" s="65" t="s">
        <v>271</v>
      </c>
      <c r="E157" s="5" t="s">
        <v>272</v>
      </c>
      <c r="F157" s="5" t="s">
        <v>273</v>
      </c>
      <c r="G157" s="60" t="s">
        <v>274</v>
      </c>
      <c r="H157" s="171"/>
      <c r="I157" s="169"/>
      <c r="J157" s="53"/>
      <c r="K157" s="53"/>
      <c r="L157" s="53"/>
    </row>
    <row r="158" spans="1:12" ht="30" customHeight="1">
      <c r="A158" s="157">
        <v>60</v>
      </c>
      <c r="B158" s="174" t="s">
        <v>1329</v>
      </c>
      <c r="C158" s="179" t="s">
        <v>544</v>
      </c>
      <c r="D158" s="9" t="s">
        <v>1711</v>
      </c>
      <c r="E158" s="34" t="s">
        <v>1330</v>
      </c>
      <c r="F158" s="34" t="s">
        <v>666</v>
      </c>
      <c r="G158" s="35" t="s">
        <v>8</v>
      </c>
      <c r="H158" s="167">
        <f>LEN(B158)-LEN(SUBSTITUTE(B158,",",""))+1</f>
        <v>2</v>
      </c>
      <c r="I158" s="169" t="s">
        <v>253</v>
      </c>
    </row>
    <row r="159" spans="1:12" ht="30" customHeight="1">
      <c r="A159" s="157"/>
      <c r="B159" s="174"/>
      <c r="C159" s="179"/>
      <c r="D159" s="71" t="s">
        <v>667</v>
      </c>
      <c r="E159" s="41" t="s">
        <v>668</v>
      </c>
      <c r="F159" s="41" t="s">
        <v>666</v>
      </c>
      <c r="G159" s="37" t="s">
        <v>35</v>
      </c>
      <c r="H159" s="171"/>
      <c r="I159" s="169"/>
    </row>
    <row r="160" spans="1:12" ht="30" customHeight="1">
      <c r="A160" s="157">
        <v>61</v>
      </c>
      <c r="B160" s="174" t="s">
        <v>1332</v>
      </c>
      <c r="C160" s="179" t="s">
        <v>275</v>
      </c>
      <c r="D160" s="71" t="s">
        <v>1712</v>
      </c>
      <c r="E160" s="41" t="s">
        <v>1109</v>
      </c>
      <c r="F160" s="41" t="s">
        <v>669</v>
      </c>
      <c r="G160" s="37" t="s">
        <v>8</v>
      </c>
      <c r="H160" s="167">
        <f>LEN(B160)-LEN(SUBSTITUTE(B160,",",""))+1</f>
        <v>3</v>
      </c>
      <c r="I160" s="169" t="s">
        <v>254</v>
      </c>
    </row>
    <row r="161" spans="1:9" ht="30" customHeight="1">
      <c r="A161" s="157"/>
      <c r="B161" s="174"/>
      <c r="C161" s="179"/>
      <c r="D161" s="71" t="s">
        <v>1094</v>
      </c>
      <c r="E161" s="40" t="s">
        <v>1095</v>
      </c>
      <c r="F161" s="8" t="s">
        <v>669</v>
      </c>
      <c r="G161" s="37" t="s">
        <v>35</v>
      </c>
      <c r="H161" s="171"/>
      <c r="I161" s="169"/>
    </row>
    <row r="162" spans="1:9" ht="30" customHeight="1">
      <c r="A162" s="157">
        <v>62</v>
      </c>
      <c r="B162" s="174" t="s">
        <v>567</v>
      </c>
      <c r="C162" s="187" t="s">
        <v>276</v>
      </c>
      <c r="D162" s="62" t="s">
        <v>1713</v>
      </c>
      <c r="E162" s="2" t="s">
        <v>1097</v>
      </c>
      <c r="F162" s="7" t="s">
        <v>1098</v>
      </c>
      <c r="G162" s="62" t="s">
        <v>1111</v>
      </c>
      <c r="H162" s="167">
        <f>LEN(B162)-LEN(SUBSTITUTE(B162,",",""))+1</f>
        <v>4</v>
      </c>
      <c r="I162" s="169" t="s">
        <v>254</v>
      </c>
    </row>
    <row r="163" spans="1:9" ht="30" customHeight="1">
      <c r="A163" s="157"/>
      <c r="B163" s="174"/>
      <c r="C163" s="187"/>
      <c r="D163" s="62" t="s">
        <v>536</v>
      </c>
      <c r="E163" s="2" t="s">
        <v>1110</v>
      </c>
      <c r="F163" s="7" t="s">
        <v>535</v>
      </c>
      <c r="G163" s="62" t="s">
        <v>534</v>
      </c>
      <c r="H163" s="171"/>
      <c r="I163" s="169"/>
    </row>
    <row r="164" spans="1:9" s="53" customFormat="1" ht="30" customHeight="1">
      <c r="A164" s="232">
        <v>64</v>
      </c>
      <c r="B164" s="209" t="s">
        <v>1485</v>
      </c>
      <c r="C164" s="192" t="s">
        <v>250</v>
      </c>
      <c r="D164" s="109" t="s">
        <v>1714</v>
      </c>
      <c r="E164" s="110" t="s">
        <v>1112</v>
      </c>
      <c r="F164" s="111" t="s">
        <v>797</v>
      </c>
      <c r="G164" s="108" t="s">
        <v>21</v>
      </c>
      <c r="H164" s="177">
        <f>LEN(B164)-LEN(SUBSTITUTE(B164,",",""))+1</f>
        <v>2</v>
      </c>
      <c r="I164" s="185" t="s">
        <v>36</v>
      </c>
    </row>
    <row r="165" spans="1:9" s="53" customFormat="1" ht="30" customHeight="1">
      <c r="A165" s="232"/>
      <c r="B165" s="209"/>
      <c r="C165" s="192"/>
      <c r="D165" s="109" t="s">
        <v>1715</v>
      </c>
      <c r="E165" s="110" t="s">
        <v>795</v>
      </c>
      <c r="F165" s="76" t="s">
        <v>796</v>
      </c>
      <c r="G165" s="84" t="s">
        <v>508</v>
      </c>
      <c r="H165" s="178"/>
      <c r="I165" s="185"/>
    </row>
    <row r="166" spans="1:9" s="53" customFormat="1" ht="30" customHeight="1">
      <c r="A166" s="232">
        <v>65</v>
      </c>
      <c r="B166" s="209" t="s">
        <v>1288</v>
      </c>
      <c r="C166" s="192" t="s">
        <v>250</v>
      </c>
      <c r="D166" s="80" t="s">
        <v>1716</v>
      </c>
      <c r="E166" s="81" t="s">
        <v>1281</v>
      </c>
      <c r="F166" s="81" t="s">
        <v>1282</v>
      </c>
      <c r="G166" s="80" t="s">
        <v>35</v>
      </c>
      <c r="H166" s="177">
        <f>LEN(B166)-LEN(SUBSTITUTE(B166,",",""))+1</f>
        <v>1</v>
      </c>
      <c r="I166" s="185" t="s">
        <v>277</v>
      </c>
    </row>
    <row r="167" spans="1:9" s="53" customFormat="1" ht="30" customHeight="1">
      <c r="A167" s="232"/>
      <c r="B167" s="209"/>
      <c r="C167" s="192"/>
      <c r="D167" s="84" t="s">
        <v>1283</v>
      </c>
      <c r="E167" s="86" t="s">
        <v>1284</v>
      </c>
      <c r="F167" s="97" t="s">
        <v>1285</v>
      </c>
      <c r="G167" s="108" t="s">
        <v>1287</v>
      </c>
      <c r="H167" s="186"/>
      <c r="I167" s="185"/>
    </row>
    <row r="168" spans="1:9" ht="30" customHeight="1">
      <c r="A168" s="157">
        <v>66</v>
      </c>
      <c r="B168" s="174" t="s">
        <v>787</v>
      </c>
      <c r="C168" s="173" t="s">
        <v>278</v>
      </c>
      <c r="D168" s="63" t="s">
        <v>1717</v>
      </c>
      <c r="E168" s="6" t="s">
        <v>1113</v>
      </c>
      <c r="F168" s="61" t="s">
        <v>20</v>
      </c>
      <c r="G168" s="60" t="s">
        <v>21</v>
      </c>
      <c r="H168" s="167">
        <f>LEN(B168)-LEN(SUBSTITUTE(B168,",",""))+1</f>
        <v>2</v>
      </c>
      <c r="I168" s="169" t="s">
        <v>254</v>
      </c>
    </row>
    <row r="169" spans="1:9" ht="30" customHeight="1">
      <c r="A169" s="157"/>
      <c r="B169" s="174"/>
      <c r="C169" s="173"/>
      <c r="D169" s="63" t="s">
        <v>1099</v>
      </c>
      <c r="E169" s="6" t="s">
        <v>1100</v>
      </c>
      <c r="F169" s="61" t="s">
        <v>1101</v>
      </c>
      <c r="G169" s="60" t="s">
        <v>1102</v>
      </c>
      <c r="H169" s="171"/>
      <c r="I169" s="169"/>
    </row>
    <row r="170" spans="1:9" ht="30" customHeight="1">
      <c r="A170" s="157">
        <v>67</v>
      </c>
      <c r="B170" s="174" t="s">
        <v>1358</v>
      </c>
      <c r="C170" s="173" t="s">
        <v>279</v>
      </c>
      <c r="D170" s="63" t="s">
        <v>1718</v>
      </c>
      <c r="E170" s="6" t="s">
        <v>1114</v>
      </c>
      <c r="F170" s="61" t="s">
        <v>1115</v>
      </c>
      <c r="G170" s="60" t="s">
        <v>267</v>
      </c>
      <c r="H170" s="167">
        <f>LEN(B170)-LEN(SUBSTITUTE(B170,",",""))+1</f>
        <v>4</v>
      </c>
      <c r="I170" s="169" t="s">
        <v>253</v>
      </c>
    </row>
    <row r="171" spans="1:9" ht="30" customHeight="1">
      <c r="A171" s="157"/>
      <c r="B171" s="174"/>
      <c r="C171" s="173"/>
      <c r="D171" s="137" t="s">
        <v>1489</v>
      </c>
      <c r="E171" s="138" t="s">
        <v>1492</v>
      </c>
      <c r="F171" s="139" t="s">
        <v>1493</v>
      </c>
      <c r="G171" s="140" t="s">
        <v>8</v>
      </c>
      <c r="H171" s="171"/>
      <c r="I171" s="169"/>
    </row>
    <row r="172" spans="1:9" ht="30" customHeight="1">
      <c r="A172" s="157">
        <v>68</v>
      </c>
      <c r="B172" s="174" t="s">
        <v>646</v>
      </c>
      <c r="C172" s="173" t="s">
        <v>279</v>
      </c>
      <c r="D172" s="73" t="s">
        <v>1719</v>
      </c>
      <c r="E172" s="34" t="s">
        <v>1116</v>
      </c>
      <c r="F172" s="39" t="s">
        <v>1117</v>
      </c>
      <c r="G172" s="60" t="s">
        <v>267</v>
      </c>
      <c r="H172" s="167">
        <f>LEN(B172)-LEN(SUBSTITUTE(B172,",",""))+1</f>
        <v>1</v>
      </c>
      <c r="I172" s="169" t="s">
        <v>254</v>
      </c>
    </row>
    <row r="173" spans="1:9" ht="30" customHeight="1">
      <c r="A173" s="157"/>
      <c r="B173" s="174"/>
      <c r="C173" s="173"/>
      <c r="D173" s="73" t="s">
        <v>1490</v>
      </c>
      <c r="E173" s="34" t="s">
        <v>1494</v>
      </c>
      <c r="F173" s="39" t="s">
        <v>1495</v>
      </c>
      <c r="G173" s="63" t="s">
        <v>1348</v>
      </c>
      <c r="H173" s="171"/>
      <c r="I173" s="169"/>
    </row>
    <row r="174" spans="1:9" ht="30" customHeight="1">
      <c r="A174" s="157">
        <v>69</v>
      </c>
      <c r="B174" s="174" t="s">
        <v>1437</v>
      </c>
      <c r="C174" s="173" t="s">
        <v>965</v>
      </c>
      <c r="D174" s="63" t="s">
        <v>1720</v>
      </c>
      <c r="E174" s="6" t="s">
        <v>966</v>
      </c>
      <c r="F174" s="8" t="s">
        <v>967</v>
      </c>
      <c r="G174" s="60" t="s">
        <v>35</v>
      </c>
      <c r="H174" s="163">
        <f>LEN(B174)-LEN(SUBSTITUTE(B174,",",""))+1</f>
        <v>15</v>
      </c>
      <c r="I174" s="169" t="s">
        <v>540</v>
      </c>
    </row>
    <row r="175" spans="1:9" ht="30" customHeight="1">
      <c r="A175" s="157"/>
      <c r="B175" s="174"/>
      <c r="C175" s="173"/>
      <c r="D175" s="63" t="s">
        <v>968</v>
      </c>
      <c r="E175" s="6" t="s">
        <v>969</v>
      </c>
      <c r="F175" s="8" t="s">
        <v>970</v>
      </c>
      <c r="G175" s="60" t="s">
        <v>971</v>
      </c>
      <c r="H175" s="163"/>
      <c r="I175" s="169"/>
    </row>
    <row r="176" spans="1:9" ht="30" customHeight="1">
      <c r="A176" s="157">
        <v>70</v>
      </c>
      <c r="B176" s="174" t="s">
        <v>649</v>
      </c>
      <c r="C176" s="173" t="s">
        <v>280</v>
      </c>
      <c r="D176" s="63" t="s">
        <v>1721</v>
      </c>
      <c r="E176" s="4" t="s">
        <v>1333</v>
      </c>
      <c r="F176" s="4" t="s">
        <v>1334</v>
      </c>
      <c r="G176" s="63" t="s">
        <v>267</v>
      </c>
      <c r="H176" s="167">
        <f>LEN(B176)-LEN(SUBSTITUTE(B176,",",""))+1</f>
        <v>2</v>
      </c>
      <c r="I176" s="169" t="s">
        <v>254</v>
      </c>
    </row>
    <row r="177" spans="1:9" ht="30" customHeight="1">
      <c r="A177" s="157"/>
      <c r="B177" s="174"/>
      <c r="C177" s="173"/>
      <c r="D177" s="63" t="s">
        <v>1335</v>
      </c>
      <c r="E177" s="4" t="s">
        <v>1336</v>
      </c>
      <c r="F177" s="4" t="s">
        <v>1334</v>
      </c>
      <c r="G177" s="63" t="s">
        <v>256</v>
      </c>
      <c r="H177" s="171"/>
      <c r="I177" s="169"/>
    </row>
    <row r="178" spans="1:9" ht="30" customHeight="1">
      <c r="A178" s="157">
        <v>71</v>
      </c>
      <c r="B178" s="174" t="s">
        <v>1350</v>
      </c>
      <c r="C178" s="173" t="s">
        <v>280</v>
      </c>
      <c r="D178" s="9" t="s">
        <v>1722</v>
      </c>
      <c r="E178" s="8" t="s">
        <v>1351</v>
      </c>
      <c r="F178" s="8" t="s">
        <v>1352</v>
      </c>
      <c r="G178" s="9" t="s">
        <v>35</v>
      </c>
      <c r="H178" s="163">
        <f>LEN(B178)-LEN(SUBSTITUTE(B178,",",""))+1</f>
        <v>1</v>
      </c>
      <c r="I178" s="169" t="s">
        <v>254</v>
      </c>
    </row>
    <row r="179" spans="1:9" ht="30" customHeight="1">
      <c r="A179" s="157"/>
      <c r="B179" s="174"/>
      <c r="C179" s="173"/>
      <c r="D179" s="9" t="s">
        <v>1353</v>
      </c>
      <c r="E179" s="8" t="s">
        <v>1354</v>
      </c>
      <c r="F179" s="8" t="s">
        <v>1355</v>
      </c>
      <c r="G179" s="9" t="s">
        <v>1348</v>
      </c>
      <c r="H179" s="163"/>
      <c r="I179" s="169"/>
    </row>
    <row r="180" spans="1:9" ht="30" customHeight="1">
      <c r="A180" s="157">
        <v>72</v>
      </c>
      <c r="B180" s="174" t="s">
        <v>900</v>
      </c>
      <c r="C180" s="173" t="s">
        <v>891</v>
      </c>
      <c r="D180" s="73" t="s">
        <v>1723</v>
      </c>
      <c r="E180" s="34" t="s">
        <v>1337</v>
      </c>
      <c r="F180" s="39" t="s">
        <v>1118</v>
      </c>
      <c r="G180" s="35" t="s">
        <v>1119</v>
      </c>
      <c r="H180" s="167">
        <f>LEN(B180)-LEN(SUBSTITUTE(B180,",",""))+1</f>
        <v>4</v>
      </c>
      <c r="I180" s="169" t="s">
        <v>254</v>
      </c>
    </row>
    <row r="181" spans="1:9" ht="30" customHeight="1">
      <c r="A181" s="157"/>
      <c r="B181" s="174"/>
      <c r="C181" s="173"/>
      <c r="D181" s="64" t="s">
        <v>892</v>
      </c>
      <c r="E181" s="6" t="s">
        <v>893</v>
      </c>
      <c r="F181" s="61" t="s">
        <v>894</v>
      </c>
      <c r="G181" s="60" t="s">
        <v>8</v>
      </c>
      <c r="H181" s="171"/>
      <c r="I181" s="169"/>
    </row>
    <row r="182" spans="1:9" ht="30" customHeight="1">
      <c r="A182" s="157">
        <v>73</v>
      </c>
      <c r="B182" s="174" t="s">
        <v>1349</v>
      </c>
      <c r="C182" s="173" t="s">
        <v>280</v>
      </c>
      <c r="D182" s="9" t="s">
        <v>1724</v>
      </c>
      <c r="E182" s="8" t="s">
        <v>1343</v>
      </c>
      <c r="F182" s="8" t="s">
        <v>1344</v>
      </c>
      <c r="G182" s="9" t="s">
        <v>35</v>
      </c>
      <c r="H182" s="167">
        <f>LEN(B182)-LEN(SUBSTITUTE(B182,",",""))+1</f>
        <v>1</v>
      </c>
      <c r="I182" s="169" t="s">
        <v>254</v>
      </c>
    </row>
    <row r="183" spans="1:9" ht="30" customHeight="1">
      <c r="A183" s="157"/>
      <c r="B183" s="174"/>
      <c r="C183" s="173"/>
      <c r="D183" s="9" t="s">
        <v>1345</v>
      </c>
      <c r="E183" s="8" t="s">
        <v>1346</v>
      </c>
      <c r="F183" s="8" t="s">
        <v>1347</v>
      </c>
      <c r="G183" s="9" t="s">
        <v>1348</v>
      </c>
      <c r="H183" s="171"/>
      <c r="I183" s="169"/>
    </row>
    <row r="184" spans="1:9" ht="30" customHeight="1">
      <c r="A184" s="157">
        <v>74</v>
      </c>
      <c r="B184" s="174" t="s">
        <v>1341</v>
      </c>
      <c r="C184" s="179" t="s">
        <v>537</v>
      </c>
      <c r="D184" s="60" t="s">
        <v>1725</v>
      </c>
      <c r="E184" s="6" t="s">
        <v>538</v>
      </c>
      <c r="F184" s="15" t="s">
        <v>539</v>
      </c>
      <c r="G184" s="60" t="s">
        <v>22</v>
      </c>
      <c r="H184" s="167">
        <f>LEN(B184)-LEN(SUBSTITUTE(B184,",",""))+1</f>
        <v>6</v>
      </c>
      <c r="I184" s="169" t="s">
        <v>540</v>
      </c>
    </row>
    <row r="185" spans="1:9" ht="30" customHeight="1">
      <c r="A185" s="157"/>
      <c r="B185" s="174"/>
      <c r="C185" s="179"/>
      <c r="D185" s="60" t="s">
        <v>541</v>
      </c>
      <c r="E185" s="6" t="s">
        <v>542</v>
      </c>
      <c r="F185" s="15" t="s">
        <v>543</v>
      </c>
      <c r="G185" s="60" t="s">
        <v>23</v>
      </c>
      <c r="H185" s="171"/>
      <c r="I185" s="169"/>
    </row>
    <row r="186" spans="1:9" ht="30" customHeight="1">
      <c r="A186" s="205"/>
      <c r="B186" s="164" t="s">
        <v>1956</v>
      </c>
      <c r="C186" s="180" t="s">
        <v>1957</v>
      </c>
      <c r="D186" s="136" t="s">
        <v>1958</v>
      </c>
      <c r="E186" s="6" t="s">
        <v>1959</v>
      </c>
      <c r="F186" s="15" t="s">
        <v>1960</v>
      </c>
      <c r="G186" s="136" t="s">
        <v>1961</v>
      </c>
      <c r="H186" s="167">
        <f>LEN(B186)-LEN(SUBSTITUTE(B186,",",""))+1</f>
        <v>1</v>
      </c>
      <c r="I186" s="169" t="s">
        <v>1962</v>
      </c>
    </row>
    <row r="187" spans="1:9" ht="30" customHeight="1">
      <c r="A187" s="206"/>
      <c r="B187" s="166"/>
      <c r="C187" s="182"/>
      <c r="D187" s="136" t="s">
        <v>1963</v>
      </c>
      <c r="E187" s="6" t="s">
        <v>1964</v>
      </c>
      <c r="F187" s="15" t="s">
        <v>1965</v>
      </c>
      <c r="G187" s="136" t="s">
        <v>1966</v>
      </c>
      <c r="H187" s="171"/>
      <c r="I187" s="169"/>
    </row>
    <row r="188" spans="1:9" ht="30" customHeight="1">
      <c r="A188" s="157">
        <v>75</v>
      </c>
      <c r="B188" s="219" t="s">
        <v>1027</v>
      </c>
      <c r="C188" s="187" t="s">
        <v>857</v>
      </c>
      <c r="D188" s="12" t="s">
        <v>1726</v>
      </c>
      <c r="E188" s="5" t="s">
        <v>858</v>
      </c>
      <c r="F188" s="7" t="s">
        <v>856</v>
      </c>
      <c r="G188" s="67" t="s">
        <v>859</v>
      </c>
      <c r="H188" s="167">
        <f>LEN(B188)-LEN(SUBSTITUTE(B188,",",""))+1</f>
        <v>2</v>
      </c>
      <c r="I188" s="169" t="s">
        <v>860</v>
      </c>
    </row>
    <row r="189" spans="1:9" ht="30" customHeight="1">
      <c r="A189" s="157"/>
      <c r="B189" s="219"/>
      <c r="C189" s="187"/>
      <c r="D189" s="12" t="s">
        <v>861</v>
      </c>
      <c r="E189" s="5" t="s">
        <v>862</v>
      </c>
      <c r="F189" s="7" t="s">
        <v>794</v>
      </c>
      <c r="G189" s="67" t="s">
        <v>863</v>
      </c>
      <c r="H189" s="171"/>
      <c r="I189" s="169"/>
    </row>
    <row r="190" spans="1:9" ht="30" customHeight="1">
      <c r="A190" s="157">
        <v>76</v>
      </c>
      <c r="B190" s="220" t="s">
        <v>529</v>
      </c>
      <c r="C190" s="179" t="s">
        <v>281</v>
      </c>
      <c r="D190" s="12" t="s">
        <v>530</v>
      </c>
      <c r="E190" s="5" t="s">
        <v>531</v>
      </c>
      <c r="F190" s="7" t="s">
        <v>532</v>
      </c>
      <c r="G190" s="67" t="s">
        <v>285</v>
      </c>
      <c r="H190" s="163">
        <f>LEN(B190)-LEN(SUBSTITUTE(B190,",",""))+1</f>
        <v>1</v>
      </c>
      <c r="I190" s="169" t="s">
        <v>253</v>
      </c>
    </row>
    <row r="191" spans="1:9" ht="30" customHeight="1">
      <c r="A191" s="157"/>
      <c r="B191" s="221"/>
      <c r="C191" s="179"/>
      <c r="D191" s="12" t="s">
        <v>570</v>
      </c>
      <c r="E191" s="5" t="s">
        <v>528</v>
      </c>
      <c r="F191" s="7" t="s">
        <v>533</v>
      </c>
      <c r="G191" s="67" t="s">
        <v>282</v>
      </c>
      <c r="H191" s="163"/>
      <c r="I191" s="169"/>
    </row>
    <row r="192" spans="1:9" ht="30" customHeight="1">
      <c r="A192" s="157"/>
      <c r="B192" s="222"/>
      <c r="C192" s="179"/>
      <c r="D192" s="12"/>
      <c r="E192" s="5"/>
      <c r="F192" s="7"/>
      <c r="G192" s="67"/>
      <c r="H192" s="163"/>
      <c r="I192" s="169"/>
    </row>
    <row r="193" spans="1:9" ht="30" customHeight="1">
      <c r="A193" s="157">
        <v>77</v>
      </c>
      <c r="B193" s="261" t="s">
        <v>1339</v>
      </c>
      <c r="C193" s="179" t="s">
        <v>1135</v>
      </c>
      <c r="D193" s="12" t="s">
        <v>1727</v>
      </c>
      <c r="E193" s="5" t="s">
        <v>1136</v>
      </c>
      <c r="F193" s="7" t="s">
        <v>1137</v>
      </c>
      <c r="G193" s="63" t="s">
        <v>1138</v>
      </c>
      <c r="H193" s="163">
        <f>LEN(B193)-LEN(SUBSTITUTE(B193,",",""))+1</f>
        <v>7</v>
      </c>
      <c r="I193" s="169" t="s">
        <v>253</v>
      </c>
    </row>
    <row r="194" spans="1:9" ht="30" customHeight="1">
      <c r="A194" s="157"/>
      <c r="B194" s="261"/>
      <c r="C194" s="179"/>
      <c r="D194" s="12" t="s">
        <v>1139</v>
      </c>
      <c r="E194" s="5" t="s">
        <v>1140</v>
      </c>
      <c r="F194" s="7" t="s">
        <v>1141</v>
      </c>
      <c r="G194" s="63" t="s">
        <v>1142</v>
      </c>
      <c r="H194" s="163"/>
      <c r="I194" s="169"/>
    </row>
    <row r="195" spans="1:9" ht="30" customHeight="1">
      <c r="A195" s="157"/>
      <c r="B195" s="261"/>
      <c r="C195" s="179"/>
      <c r="D195" s="12" t="s">
        <v>1143</v>
      </c>
      <c r="E195" s="5" t="s">
        <v>1144</v>
      </c>
      <c r="F195" s="7" t="s">
        <v>1145</v>
      </c>
      <c r="G195" s="67" t="s">
        <v>1146</v>
      </c>
      <c r="H195" s="163"/>
      <c r="I195" s="169"/>
    </row>
    <row r="196" spans="1:9" ht="30" customHeight="1">
      <c r="A196" s="157">
        <v>78</v>
      </c>
      <c r="B196" s="174" t="s">
        <v>1395</v>
      </c>
      <c r="C196" s="179" t="s">
        <v>1147</v>
      </c>
      <c r="D196" s="12" t="s">
        <v>1728</v>
      </c>
      <c r="E196" s="5" t="s">
        <v>1148</v>
      </c>
      <c r="F196" s="7" t="s">
        <v>1149</v>
      </c>
      <c r="G196" s="63" t="s">
        <v>1138</v>
      </c>
      <c r="H196" s="163">
        <f>LEN(B196)-LEN(SUBSTITUTE(B196,",",""))+1</f>
        <v>2</v>
      </c>
      <c r="I196" s="169" t="s">
        <v>254</v>
      </c>
    </row>
    <row r="197" spans="1:9" ht="30" customHeight="1">
      <c r="A197" s="157"/>
      <c r="B197" s="174"/>
      <c r="C197" s="179"/>
      <c r="D197" s="12" t="s">
        <v>1150</v>
      </c>
      <c r="E197" s="5" t="s">
        <v>1151</v>
      </c>
      <c r="F197" s="7" t="s">
        <v>1152</v>
      </c>
      <c r="G197" s="63" t="s">
        <v>1142</v>
      </c>
      <c r="H197" s="163"/>
      <c r="I197" s="169"/>
    </row>
    <row r="198" spans="1:9" ht="30" customHeight="1">
      <c r="A198" s="157"/>
      <c r="B198" s="174"/>
      <c r="C198" s="179"/>
      <c r="D198" s="12" t="s">
        <v>1153</v>
      </c>
      <c r="E198" s="5" t="s">
        <v>1154</v>
      </c>
      <c r="F198" s="7" t="s">
        <v>1152</v>
      </c>
      <c r="G198" s="67" t="s">
        <v>1155</v>
      </c>
      <c r="H198" s="163"/>
      <c r="I198" s="169"/>
    </row>
    <row r="199" spans="1:9" ht="30" customHeight="1">
      <c r="A199" s="157">
        <v>79</v>
      </c>
      <c r="B199" s="164" t="s">
        <v>1156</v>
      </c>
      <c r="C199" s="179" t="s">
        <v>1157</v>
      </c>
      <c r="D199" s="12" t="s">
        <v>1729</v>
      </c>
      <c r="E199" s="4" t="s">
        <v>1158</v>
      </c>
      <c r="F199" s="5" t="s">
        <v>1159</v>
      </c>
      <c r="G199" s="67" t="s">
        <v>1160</v>
      </c>
      <c r="H199" s="163">
        <f>LEN(B199)-LEN(SUBSTITUTE(B199,",",""))+1</f>
        <v>1</v>
      </c>
      <c r="I199" s="169" t="s">
        <v>896</v>
      </c>
    </row>
    <row r="200" spans="1:9" ht="30" customHeight="1">
      <c r="A200" s="157"/>
      <c r="B200" s="165"/>
      <c r="C200" s="179"/>
      <c r="D200" s="9" t="s">
        <v>1128</v>
      </c>
      <c r="E200" s="8" t="s">
        <v>1129</v>
      </c>
      <c r="F200" s="8" t="s">
        <v>1130</v>
      </c>
      <c r="G200" s="9" t="s">
        <v>9</v>
      </c>
      <c r="H200" s="163"/>
      <c r="I200" s="169"/>
    </row>
    <row r="201" spans="1:9" ht="30" customHeight="1">
      <c r="A201" s="157"/>
      <c r="B201" s="166"/>
      <c r="C201" s="179"/>
      <c r="D201" s="9" t="s">
        <v>1131</v>
      </c>
      <c r="E201" s="8" t="s">
        <v>1132</v>
      </c>
      <c r="F201" s="8" t="s">
        <v>1130</v>
      </c>
      <c r="G201" s="9" t="s">
        <v>38</v>
      </c>
      <c r="H201" s="163"/>
      <c r="I201" s="169"/>
    </row>
    <row r="202" spans="1:9" ht="30" customHeight="1">
      <c r="A202" s="157">
        <v>80</v>
      </c>
      <c r="B202" s="174" t="s">
        <v>1462</v>
      </c>
      <c r="C202" s="180" t="s">
        <v>1147</v>
      </c>
      <c r="D202" s="9" t="s">
        <v>1730</v>
      </c>
      <c r="E202" s="8" t="s">
        <v>1463</v>
      </c>
      <c r="F202" s="8" t="s">
        <v>1464</v>
      </c>
      <c r="G202" s="9" t="s">
        <v>11</v>
      </c>
      <c r="H202" s="163">
        <f>LEN(B202)-LEN(SUBSTITUTE(B202,",",""))+1</f>
        <v>1</v>
      </c>
      <c r="I202" s="169" t="s">
        <v>254</v>
      </c>
    </row>
    <row r="203" spans="1:9" ht="30" customHeight="1">
      <c r="A203" s="157"/>
      <c r="B203" s="174"/>
      <c r="C203" s="181"/>
      <c r="D203" s="9" t="s">
        <v>1465</v>
      </c>
      <c r="E203" s="8" t="s">
        <v>1466</v>
      </c>
      <c r="F203" s="8" t="s">
        <v>1467</v>
      </c>
      <c r="G203" s="9" t="s">
        <v>9</v>
      </c>
      <c r="H203" s="163"/>
      <c r="I203" s="169"/>
    </row>
    <row r="204" spans="1:9" ht="30" customHeight="1">
      <c r="A204" s="157"/>
      <c r="B204" s="174"/>
      <c r="C204" s="182"/>
      <c r="D204" s="9" t="s">
        <v>1468</v>
      </c>
      <c r="E204" s="8" t="s">
        <v>1469</v>
      </c>
      <c r="F204" s="8" t="s">
        <v>1464</v>
      </c>
      <c r="G204" s="9" t="s">
        <v>38</v>
      </c>
      <c r="H204" s="163"/>
      <c r="I204" s="169"/>
    </row>
    <row r="205" spans="1:9" ht="30" customHeight="1">
      <c r="A205" s="157">
        <v>81</v>
      </c>
      <c r="B205" s="164" t="s">
        <v>1162</v>
      </c>
      <c r="C205" s="180" t="s">
        <v>1147</v>
      </c>
      <c r="D205" s="12" t="s">
        <v>1731</v>
      </c>
      <c r="E205" s="5" t="s">
        <v>1163</v>
      </c>
      <c r="F205" s="7" t="s">
        <v>1164</v>
      </c>
      <c r="G205" s="67" t="s">
        <v>1160</v>
      </c>
      <c r="H205" s="163">
        <f>LEN(B205)-LEN(SUBSTITUTE(B205,",",""))+1</f>
        <v>3</v>
      </c>
      <c r="I205" s="158" t="s">
        <v>254</v>
      </c>
    </row>
    <row r="206" spans="1:9" ht="30" customHeight="1">
      <c r="A206" s="157"/>
      <c r="B206" s="165"/>
      <c r="C206" s="181"/>
      <c r="D206" s="12" t="s">
        <v>1165</v>
      </c>
      <c r="E206" s="5" t="s">
        <v>1166</v>
      </c>
      <c r="F206" s="7" t="s">
        <v>1167</v>
      </c>
      <c r="G206" s="67" t="s">
        <v>1142</v>
      </c>
      <c r="H206" s="163"/>
      <c r="I206" s="159"/>
    </row>
    <row r="207" spans="1:9" ht="30" customHeight="1">
      <c r="A207" s="157"/>
      <c r="B207" s="166"/>
      <c r="C207" s="182"/>
      <c r="D207" s="12" t="s">
        <v>108</v>
      </c>
      <c r="E207" s="5" t="s">
        <v>109</v>
      </c>
      <c r="F207" s="7" t="s">
        <v>110</v>
      </c>
      <c r="G207" s="67" t="s">
        <v>38</v>
      </c>
      <c r="H207" s="163"/>
      <c r="I207" s="160"/>
    </row>
    <row r="208" spans="1:9" ht="30" customHeight="1">
      <c r="A208" s="157">
        <v>82</v>
      </c>
      <c r="B208" s="174" t="s">
        <v>1529</v>
      </c>
      <c r="C208" s="179" t="s">
        <v>1147</v>
      </c>
      <c r="D208" s="12" t="s">
        <v>1732</v>
      </c>
      <c r="E208" s="5" t="s">
        <v>1168</v>
      </c>
      <c r="F208" s="7" t="s">
        <v>1169</v>
      </c>
      <c r="G208" s="67" t="s">
        <v>1138</v>
      </c>
      <c r="H208" s="163">
        <f>LEN(B208)-LEN(SUBSTITUTE(B208,",",""))+1</f>
        <v>10</v>
      </c>
      <c r="I208" s="169" t="s">
        <v>254</v>
      </c>
    </row>
    <row r="209" spans="1:9" ht="30" customHeight="1">
      <c r="A209" s="157"/>
      <c r="B209" s="174"/>
      <c r="C209" s="179"/>
      <c r="D209" s="12" t="s">
        <v>1170</v>
      </c>
      <c r="E209" s="5" t="s">
        <v>1171</v>
      </c>
      <c r="F209" s="7" t="s">
        <v>1172</v>
      </c>
      <c r="G209" s="63" t="s">
        <v>1161</v>
      </c>
      <c r="H209" s="163"/>
      <c r="I209" s="169"/>
    </row>
    <row r="210" spans="1:9" ht="30" customHeight="1">
      <c r="A210" s="157"/>
      <c r="B210" s="174"/>
      <c r="C210" s="179"/>
      <c r="D210" s="12" t="s">
        <v>1173</v>
      </c>
      <c r="E210" s="5" t="s">
        <v>1174</v>
      </c>
      <c r="F210" s="7" t="s">
        <v>1175</v>
      </c>
      <c r="G210" s="63" t="s">
        <v>1155</v>
      </c>
      <c r="H210" s="163"/>
      <c r="I210" s="169"/>
    </row>
    <row r="211" spans="1:9" ht="30" customHeight="1">
      <c r="A211" s="157">
        <v>83</v>
      </c>
      <c r="B211" s="219" t="s">
        <v>1577</v>
      </c>
      <c r="C211" s="179" t="s">
        <v>1135</v>
      </c>
      <c r="D211" s="12" t="s">
        <v>1733</v>
      </c>
      <c r="E211" s="5" t="s">
        <v>1176</v>
      </c>
      <c r="F211" s="7" t="s">
        <v>151</v>
      </c>
      <c r="G211" s="63" t="s">
        <v>1160</v>
      </c>
      <c r="H211" s="163">
        <f>LEN(B211)-LEN(SUBSTITUTE(B211,",",""))+1</f>
        <v>9</v>
      </c>
      <c r="I211" s="169" t="s">
        <v>660</v>
      </c>
    </row>
    <row r="212" spans="1:9" ht="30" customHeight="1">
      <c r="A212" s="157"/>
      <c r="B212" s="219"/>
      <c r="C212" s="179"/>
      <c r="D212" s="12" t="s">
        <v>1177</v>
      </c>
      <c r="E212" s="5" t="s">
        <v>1178</v>
      </c>
      <c r="F212" s="7" t="s">
        <v>1179</v>
      </c>
      <c r="G212" s="63" t="s">
        <v>1161</v>
      </c>
      <c r="H212" s="163"/>
      <c r="I212" s="169"/>
    </row>
    <row r="213" spans="1:9" ht="30" customHeight="1">
      <c r="A213" s="157"/>
      <c r="B213" s="219"/>
      <c r="C213" s="179"/>
      <c r="D213" s="12" t="s">
        <v>1180</v>
      </c>
      <c r="E213" s="5" t="s">
        <v>1181</v>
      </c>
      <c r="F213" s="7" t="s">
        <v>1182</v>
      </c>
      <c r="G213" s="63" t="s">
        <v>1183</v>
      </c>
      <c r="H213" s="163"/>
      <c r="I213" s="169"/>
    </row>
    <row r="214" spans="1:9" ht="30" customHeight="1">
      <c r="A214" s="157">
        <v>84</v>
      </c>
      <c r="B214" s="261" t="s">
        <v>1338</v>
      </c>
      <c r="C214" s="179" t="s">
        <v>1135</v>
      </c>
      <c r="D214" s="12" t="s">
        <v>1184</v>
      </c>
      <c r="E214" s="5" t="s">
        <v>1185</v>
      </c>
      <c r="F214" s="7" t="s">
        <v>1186</v>
      </c>
      <c r="G214" s="67" t="s">
        <v>1160</v>
      </c>
      <c r="H214" s="163">
        <f>LEN(B214)-LEN(SUBSTITUTE(B214,",",""))+1</f>
        <v>5</v>
      </c>
      <c r="I214" s="169" t="s">
        <v>660</v>
      </c>
    </row>
    <row r="215" spans="1:9" ht="30" customHeight="1">
      <c r="A215" s="157"/>
      <c r="B215" s="261"/>
      <c r="C215" s="179"/>
      <c r="D215" s="12" t="s">
        <v>1187</v>
      </c>
      <c r="E215" s="5" t="s">
        <v>1188</v>
      </c>
      <c r="F215" s="7" t="s">
        <v>1189</v>
      </c>
      <c r="G215" s="63" t="s">
        <v>1142</v>
      </c>
      <c r="H215" s="163"/>
      <c r="I215" s="169"/>
    </row>
    <row r="216" spans="1:9" ht="30" customHeight="1">
      <c r="A216" s="157"/>
      <c r="B216" s="261"/>
      <c r="C216" s="179"/>
      <c r="D216" s="12" t="s">
        <v>111</v>
      </c>
      <c r="E216" s="5" t="s">
        <v>112</v>
      </c>
      <c r="F216" s="7" t="s">
        <v>113</v>
      </c>
      <c r="G216" s="63" t="s">
        <v>38</v>
      </c>
      <c r="H216" s="163"/>
      <c r="I216" s="169"/>
    </row>
    <row r="217" spans="1:9" ht="30" customHeight="1">
      <c r="A217" s="157">
        <v>85</v>
      </c>
      <c r="B217" s="219" t="s">
        <v>1190</v>
      </c>
      <c r="C217" s="179" t="s">
        <v>1135</v>
      </c>
      <c r="D217" s="12" t="s">
        <v>1191</v>
      </c>
      <c r="E217" s="5" t="s">
        <v>1192</v>
      </c>
      <c r="F217" s="7" t="s">
        <v>1193</v>
      </c>
      <c r="G217" s="67" t="s">
        <v>1160</v>
      </c>
      <c r="H217" s="163">
        <f>LEN(B217)-LEN(SUBSTITUTE(B217,",",""))+1</f>
        <v>3</v>
      </c>
      <c r="I217" s="169" t="s">
        <v>254</v>
      </c>
    </row>
    <row r="218" spans="1:9" ht="30" customHeight="1">
      <c r="A218" s="157"/>
      <c r="B218" s="219"/>
      <c r="C218" s="179"/>
      <c r="D218" s="12" t="s">
        <v>1194</v>
      </c>
      <c r="E218" s="7" t="s">
        <v>1195</v>
      </c>
      <c r="F218" s="7" t="s">
        <v>1196</v>
      </c>
      <c r="G218" s="63" t="s">
        <v>1142</v>
      </c>
      <c r="H218" s="163"/>
      <c r="I218" s="169"/>
    </row>
    <row r="219" spans="1:9" ht="30" customHeight="1">
      <c r="A219" s="157"/>
      <c r="B219" s="219"/>
      <c r="C219" s="179"/>
      <c r="D219" s="12" t="s">
        <v>1197</v>
      </c>
      <c r="E219" s="7" t="s">
        <v>1198</v>
      </c>
      <c r="F219" s="7" t="s">
        <v>1193</v>
      </c>
      <c r="G219" s="63" t="s">
        <v>1155</v>
      </c>
      <c r="H219" s="163"/>
      <c r="I219" s="169"/>
    </row>
    <row r="220" spans="1:9" ht="30" customHeight="1">
      <c r="A220" s="157">
        <v>86</v>
      </c>
      <c r="B220" s="219" t="s">
        <v>1199</v>
      </c>
      <c r="C220" s="179" t="s">
        <v>1135</v>
      </c>
      <c r="D220" s="12" t="s">
        <v>1734</v>
      </c>
      <c r="E220" s="5" t="s">
        <v>1200</v>
      </c>
      <c r="F220" s="7" t="s">
        <v>1201</v>
      </c>
      <c r="G220" s="67" t="s">
        <v>1138</v>
      </c>
      <c r="H220" s="163">
        <f>LEN(B220)-LEN(SUBSTITUTE(B220,",",""))+1</f>
        <v>2</v>
      </c>
      <c r="I220" s="169" t="s">
        <v>254</v>
      </c>
    </row>
    <row r="221" spans="1:9" ht="30" customHeight="1">
      <c r="A221" s="157"/>
      <c r="B221" s="219"/>
      <c r="C221" s="179"/>
      <c r="D221" s="12" t="s">
        <v>1202</v>
      </c>
      <c r="E221" s="7" t="s">
        <v>1203</v>
      </c>
      <c r="F221" s="7" t="s">
        <v>1204</v>
      </c>
      <c r="G221" s="63" t="s">
        <v>1142</v>
      </c>
      <c r="H221" s="163"/>
      <c r="I221" s="169"/>
    </row>
    <row r="222" spans="1:9" ht="30" customHeight="1">
      <c r="A222" s="157"/>
      <c r="B222" s="219"/>
      <c r="C222" s="179"/>
      <c r="D222" s="12" t="s">
        <v>1205</v>
      </c>
      <c r="E222" s="7" t="s">
        <v>1206</v>
      </c>
      <c r="F222" s="7" t="s">
        <v>1207</v>
      </c>
      <c r="G222" s="63" t="s">
        <v>1155</v>
      </c>
      <c r="H222" s="163"/>
      <c r="I222" s="169"/>
    </row>
    <row r="223" spans="1:9" ht="30" customHeight="1">
      <c r="A223" s="157">
        <v>87</v>
      </c>
      <c r="B223" s="174" t="s">
        <v>1208</v>
      </c>
      <c r="C223" s="179" t="s">
        <v>1135</v>
      </c>
      <c r="D223" s="12" t="s">
        <v>1735</v>
      </c>
      <c r="E223" s="5" t="s">
        <v>1209</v>
      </c>
      <c r="F223" s="7" t="s">
        <v>1210</v>
      </c>
      <c r="G223" s="63" t="s">
        <v>1138</v>
      </c>
      <c r="H223" s="163">
        <f>LEN(B223)-LEN(SUBSTITUTE(B223,",",""))+1</f>
        <v>9</v>
      </c>
      <c r="I223" s="169" t="s">
        <v>254</v>
      </c>
    </row>
    <row r="224" spans="1:9" ht="30" customHeight="1">
      <c r="A224" s="157"/>
      <c r="B224" s="174"/>
      <c r="C224" s="179"/>
      <c r="D224" s="12" t="s">
        <v>1211</v>
      </c>
      <c r="E224" s="5" t="s">
        <v>1212</v>
      </c>
      <c r="F224" s="7" t="s">
        <v>1213</v>
      </c>
      <c r="G224" s="63" t="s">
        <v>1142</v>
      </c>
      <c r="H224" s="163"/>
      <c r="I224" s="169"/>
    </row>
    <row r="225" spans="1:9" ht="30" customHeight="1">
      <c r="A225" s="157"/>
      <c r="B225" s="174"/>
      <c r="C225" s="179"/>
      <c r="D225" s="12" t="s">
        <v>1214</v>
      </c>
      <c r="E225" s="5" t="s">
        <v>1215</v>
      </c>
      <c r="F225" s="7" t="s">
        <v>1216</v>
      </c>
      <c r="G225" s="63" t="s">
        <v>1155</v>
      </c>
      <c r="H225" s="163"/>
      <c r="I225" s="169"/>
    </row>
    <row r="226" spans="1:9" ht="30" customHeight="1">
      <c r="A226" s="157">
        <v>88</v>
      </c>
      <c r="B226" s="174" t="s">
        <v>1340</v>
      </c>
      <c r="C226" s="179" t="s">
        <v>1217</v>
      </c>
      <c r="D226" s="12" t="s">
        <v>1736</v>
      </c>
      <c r="E226" s="5" t="s">
        <v>1218</v>
      </c>
      <c r="F226" s="7" t="s">
        <v>1219</v>
      </c>
      <c r="G226" s="63" t="s">
        <v>1220</v>
      </c>
      <c r="H226" s="163">
        <f>LEN(B226)-LEN(SUBSTITUTE(B226,",",""))+1</f>
        <v>2</v>
      </c>
      <c r="I226" s="172" t="s">
        <v>253</v>
      </c>
    </row>
    <row r="227" spans="1:9" ht="30" customHeight="1">
      <c r="A227" s="157"/>
      <c r="B227" s="174"/>
      <c r="C227" s="179"/>
      <c r="D227" s="12" t="s">
        <v>1221</v>
      </c>
      <c r="E227" s="5" t="s">
        <v>1222</v>
      </c>
      <c r="F227" s="7" t="s">
        <v>1223</v>
      </c>
      <c r="G227" s="63" t="s">
        <v>1142</v>
      </c>
      <c r="H227" s="163"/>
      <c r="I227" s="172"/>
    </row>
    <row r="228" spans="1:9" ht="30" customHeight="1">
      <c r="A228" s="157"/>
      <c r="B228" s="174"/>
      <c r="C228" s="179"/>
      <c r="D228" s="12" t="s">
        <v>1224</v>
      </c>
      <c r="E228" s="5" t="s">
        <v>1225</v>
      </c>
      <c r="F228" s="7" t="s">
        <v>1226</v>
      </c>
      <c r="G228" s="67" t="s">
        <v>1183</v>
      </c>
      <c r="H228" s="163"/>
      <c r="I228" s="172"/>
    </row>
    <row r="229" spans="1:9" ht="30" customHeight="1">
      <c r="A229" s="157">
        <v>89</v>
      </c>
      <c r="B229" s="261" t="s">
        <v>1227</v>
      </c>
      <c r="C229" s="179" t="s">
        <v>1147</v>
      </c>
      <c r="D229" s="12" t="s">
        <v>1228</v>
      </c>
      <c r="E229" s="5" t="s">
        <v>1229</v>
      </c>
      <c r="F229" s="8" t="s">
        <v>986</v>
      </c>
      <c r="G229" s="63" t="s">
        <v>1138</v>
      </c>
      <c r="H229" s="163">
        <f>LEN(B229)-LEN(SUBSTITUTE(B229,",",""))+1</f>
        <v>1</v>
      </c>
      <c r="I229" s="172" t="s">
        <v>987</v>
      </c>
    </row>
    <row r="230" spans="1:9" ht="30" customHeight="1">
      <c r="A230" s="157"/>
      <c r="B230" s="261"/>
      <c r="C230" s="179"/>
      <c r="D230" s="9" t="s">
        <v>1133</v>
      </c>
      <c r="E230" s="8" t="s">
        <v>1134</v>
      </c>
      <c r="F230" s="8" t="s">
        <v>986</v>
      </c>
      <c r="G230" s="9" t="s">
        <v>9</v>
      </c>
      <c r="H230" s="163"/>
      <c r="I230" s="172"/>
    </row>
    <row r="231" spans="1:9" ht="30" customHeight="1">
      <c r="A231" s="157"/>
      <c r="B231" s="261"/>
      <c r="C231" s="179"/>
      <c r="D231" s="12" t="s">
        <v>988</v>
      </c>
      <c r="E231" s="5" t="s">
        <v>989</v>
      </c>
      <c r="F231" s="7" t="s">
        <v>986</v>
      </c>
      <c r="G231" s="67" t="s">
        <v>1146</v>
      </c>
      <c r="H231" s="163"/>
      <c r="I231" s="172"/>
    </row>
    <row r="232" spans="1:9" ht="30" customHeight="1">
      <c r="A232" s="157">
        <v>90</v>
      </c>
      <c r="B232" s="174" t="s">
        <v>1421</v>
      </c>
      <c r="C232" s="179" t="s">
        <v>1147</v>
      </c>
      <c r="D232" s="12" t="s">
        <v>1737</v>
      </c>
      <c r="E232" s="5" t="s">
        <v>1230</v>
      </c>
      <c r="F232" s="7" t="s">
        <v>1231</v>
      </c>
      <c r="G232" s="63" t="s">
        <v>11</v>
      </c>
      <c r="H232" s="163">
        <f>LEN(B232)-LEN(SUBSTITUTE(B232,",",""))+1</f>
        <v>1</v>
      </c>
      <c r="I232" s="169" t="s">
        <v>254</v>
      </c>
    </row>
    <row r="233" spans="1:9" ht="30" customHeight="1">
      <c r="A233" s="157"/>
      <c r="B233" s="174"/>
      <c r="C233" s="179"/>
      <c r="D233" s="12" t="s">
        <v>1232</v>
      </c>
      <c r="E233" s="5" t="s">
        <v>1233</v>
      </c>
      <c r="F233" s="7" t="s">
        <v>1234</v>
      </c>
      <c r="G233" s="63" t="s">
        <v>9</v>
      </c>
      <c r="H233" s="163"/>
      <c r="I233" s="169"/>
    </row>
    <row r="234" spans="1:9" ht="30" customHeight="1">
      <c r="A234" s="157"/>
      <c r="B234" s="174"/>
      <c r="C234" s="179"/>
      <c r="D234" s="9" t="s">
        <v>1266</v>
      </c>
      <c r="E234" s="8" t="s">
        <v>1267</v>
      </c>
      <c r="F234" s="8" t="s">
        <v>1268</v>
      </c>
      <c r="G234" s="9" t="s">
        <v>38</v>
      </c>
      <c r="H234" s="163"/>
      <c r="I234" s="169"/>
    </row>
    <row r="235" spans="1:9" ht="30" customHeight="1">
      <c r="A235" s="157">
        <v>91</v>
      </c>
      <c r="B235" s="174" t="s">
        <v>1235</v>
      </c>
      <c r="C235" s="179" t="s">
        <v>1147</v>
      </c>
      <c r="D235" s="12" t="s">
        <v>1738</v>
      </c>
      <c r="E235" s="5" t="s">
        <v>1236</v>
      </c>
      <c r="F235" s="7" t="s">
        <v>1237</v>
      </c>
      <c r="G235" s="63" t="s">
        <v>1238</v>
      </c>
      <c r="H235" s="163">
        <f>LEN(B235)-LEN(SUBSTITUTE(B235,",",""))+1</f>
        <v>2</v>
      </c>
      <c r="I235" s="169" t="s">
        <v>254</v>
      </c>
    </row>
    <row r="236" spans="1:9" ht="30" customHeight="1">
      <c r="A236" s="157"/>
      <c r="B236" s="174"/>
      <c r="C236" s="179"/>
      <c r="D236" s="12" t="s">
        <v>1239</v>
      </c>
      <c r="E236" s="5" t="s">
        <v>1240</v>
      </c>
      <c r="F236" s="7" t="s">
        <v>1241</v>
      </c>
      <c r="G236" s="63" t="s">
        <v>1161</v>
      </c>
      <c r="H236" s="163"/>
      <c r="I236" s="169"/>
    </row>
    <row r="237" spans="1:9" ht="30" customHeight="1">
      <c r="A237" s="157"/>
      <c r="B237" s="174"/>
      <c r="C237" s="179"/>
      <c r="D237" s="12" t="s">
        <v>114</v>
      </c>
      <c r="E237" s="5" t="s">
        <v>115</v>
      </c>
      <c r="F237" s="7" t="s">
        <v>116</v>
      </c>
      <c r="G237" s="67" t="s">
        <v>38</v>
      </c>
      <c r="H237" s="163"/>
      <c r="I237" s="169"/>
    </row>
    <row r="238" spans="1:9" ht="30" customHeight="1">
      <c r="A238" s="157">
        <v>92</v>
      </c>
      <c r="B238" s="174" t="s">
        <v>1242</v>
      </c>
      <c r="C238" s="179" t="s">
        <v>1135</v>
      </c>
      <c r="D238" s="12" t="s">
        <v>1243</v>
      </c>
      <c r="E238" s="5" t="s">
        <v>1244</v>
      </c>
      <c r="F238" s="7" t="s">
        <v>1245</v>
      </c>
      <c r="G238" s="63" t="s">
        <v>1138</v>
      </c>
      <c r="H238" s="163">
        <f>LEN(B238)-LEN(SUBSTITUTE(B238,",",""))+1</f>
        <v>1</v>
      </c>
      <c r="I238" s="169" t="s">
        <v>254</v>
      </c>
    </row>
    <row r="239" spans="1:9" ht="30" customHeight="1">
      <c r="A239" s="157"/>
      <c r="B239" s="174"/>
      <c r="C239" s="179"/>
      <c r="D239" s="12" t="s">
        <v>1246</v>
      </c>
      <c r="E239" s="5" t="s">
        <v>1247</v>
      </c>
      <c r="F239" s="7" t="s">
        <v>1249</v>
      </c>
      <c r="G239" s="63" t="s">
        <v>1142</v>
      </c>
      <c r="H239" s="163"/>
      <c r="I239" s="169"/>
    </row>
    <row r="240" spans="1:9" ht="30" customHeight="1">
      <c r="A240" s="157"/>
      <c r="B240" s="174"/>
      <c r="C240" s="179"/>
      <c r="D240" s="12" t="s">
        <v>1250</v>
      </c>
      <c r="E240" s="5" t="s">
        <v>1251</v>
      </c>
      <c r="F240" s="7" t="s">
        <v>1248</v>
      </c>
      <c r="G240" s="67" t="s">
        <v>1155</v>
      </c>
      <c r="H240" s="163"/>
      <c r="I240" s="169"/>
    </row>
    <row r="241" spans="1:9" ht="30" customHeight="1">
      <c r="A241" s="157">
        <v>93</v>
      </c>
      <c r="B241" s="261" t="s">
        <v>1396</v>
      </c>
      <c r="C241" s="179" t="s">
        <v>1147</v>
      </c>
      <c r="D241" s="12" t="s">
        <v>1739</v>
      </c>
      <c r="E241" s="5" t="s">
        <v>1252</v>
      </c>
      <c r="F241" s="7" t="s">
        <v>1253</v>
      </c>
      <c r="G241" s="63" t="s">
        <v>1160</v>
      </c>
      <c r="H241" s="163">
        <f>LEN(B241)-LEN(SUBSTITUTE(B241,",",""))+1</f>
        <v>3</v>
      </c>
      <c r="I241" s="169" t="s">
        <v>254</v>
      </c>
    </row>
    <row r="242" spans="1:9" ht="30" customHeight="1">
      <c r="A242" s="157"/>
      <c r="B242" s="261"/>
      <c r="C242" s="179"/>
      <c r="D242" s="12" t="s">
        <v>1254</v>
      </c>
      <c r="E242" s="5" t="s">
        <v>1255</v>
      </c>
      <c r="F242" s="7" t="s">
        <v>1256</v>
      </c>
      <c r="G242" s="63" t="s">
        <v>1257</v>
      </c>
      <c r="H242" s="163"/>
      <c r="I242" s="169"/>
    </row>
    <row r="243" spans="1:9" ht="30" customHeight="1">
      <c r="A243" s="157"/>
      <c r="B243" s="261"/>
      <c r="C243" s="179"/>
      <c r="D243" s="67" t="s">
        <v>1258</v>
      </c>
      <c r="E243" s="66" t="s">
        <v>1259</v>
      </c>
      <c r="F243" s="66" t="s">
        <v>1256</v>
      </c>
      <c r="G243" s="67" t="s">
        <v>1155</v>
      </c>
      <c r="H243" s="163"/>
      <c r="I243" s="169"/>
    </row>
    <row r="244" spans="1:9" ht="30" customHeight="1">
      <c r="A244" s="157">
        <v>94</v>
      </c>
      <c r="B244" s="261" t="s">
        <v>1865</v>
      </c>
      <c r="C244" s="179" t="s">
        <v>1147</v>
      </c>
      <c r="D244" s="12" t="s">
        <v>1801</v>
      </c>
      <c r="E244" s="5" t="s">
        <v>1260</v>
      </c>
      <c r="F244" s="7" t="s">
        <v>1261</v>
      </c>
      <c r="G244" s="63" t="s">
        <v>11</v>
      </c>
      <c r="H244" s="163">
        <f>LEN(B244)-LEN(SUBSTITUTE(B244,",",""))+1</f>
        <v>10</v>
      </c>
      <c r="I244" s="169" t="s">
        <v>277</v>
      </c>
    </row>
    <row r="245" spans="1:9" ht="30" customHeight="1">
      <c r="A245" s="157"/>
      <c r="B245" s="261"/>
      <c r="C245" s="179"/>
      <c r="D245" s="12" t="s">
        <v>1262</v>
      </c>
      <c r="E245" s="5" t="s">
        <v>1263</v>
      </c>
      <c r="F245" s="7" t="s">
        <v>1264</v>
      </c>
      <c r="G245" s="63" t="s">
        <v>9</v>
      </c>
      <c r="H245" s="163"/>
      <c r="I245" s="169"/>
    </row>
    <row r="246" spans="1:9" ht="30" customHeight="1">
      <c r="A246" s="157"/>
      <c r="B246" s="261"/>
      <c r="C246" s="179"/>
      <c r="D246" s="12" t="s">
        <v>117</v>
      </c>
      <c r="E246" s="5" t="s">
        <v>118</v>
      </c>
      <c r="F246" s="7" t="s">
        <v>119</v>
      </c>
      <c r="G246" s="67" t="s">
        <v>38</v>
      </c>
      <c r="H246" s="163"/>
      <c r="I246" s="169"/>
    </row>
    <row r="247" spans="1:9" ht="30" customHeight="1">
      <c r="A247" s="157">
        <v>95</v>
      </c>
      <c r="B247" s="174" t="s">
        <v>1265</v>
      </c>
      <c r="C247" s="179" t="s">
        <v>1135</v>
      </c>
      <c r="D247" s="9" t="s">
        <v>1740</v>
      </c>
      <c r="E247" s="8" t="s">
        <v>1001</v>
      </c>
      <c r="F247" s="8" t="s">
        <v>1002</v>
      </c>
      <c r="G247" s="9" t="s">
        <v>11</v>
      </c>
      <c r="H247" s="163">
        <f>LEN(B247)-LEN(SUBSTITUTE(B247,",",""))+1</f>
        <v>1</v>
      </c>
      <c r="I247" s="172" t="s">
        <v>253</v>
      </c>
    </row>
    <row r="248" spans="1:9" ht="30" customHeight="1">
      <c r="A248" s="157"/>
      <c r="B248" s="174"/>
      <c r="C248" s="179"/>
      <c r="D248" s="9" t="s">
        <v>998</v>
      </c>
      <c r="E248" s="8" t="s">
        <v>999</v>
      </c>
      <c r="F248" s="8" t="s">
        <v>1000</v>
      </c>
      <c r="G248" s="9" t="s">
        <v>9</v>
      </c>
      <c r="H248" s="163"/>
      <c r="I248" s="172"/>
    </row>
    <row r="249" spans="1:9" ht="30" customHeight="1">
      <c r="A249" s="157"/>
      <c r="B249" s="174"/>
      <c r="C249" s="179"/>
      <c r="D249" s="9" t="s">
        <v>1003</v>
      </c>
      <c r="E249" s="8" t="s">
        <v>1004</v>
      </c>
      <c r="F249" s="8" t="s">
        <v>1000</v>
      </c>
      <c r="G249" s="9" t="s">
        <v>38</v>
      </c>
      <c r="H249" s="163"/>
      <c r="I249" s="172"/>
    </row>
    <row r="250" spans="1:9" ht="30" customHeight="1">
      <c r="A250" s="157">
        <v>96</v>
      </c>
      <c r="B250" s="164" t="s">
        <v>1878</v>
      </c>
      <c r="C250" s="158" t="s">
        <v>690</v>
      </c>
      <c r="D250" s="65" t="s">
        <v>691</v>
      </c>
      <c r="E250" s="14" t="s">
        <v>692</v>
      </c>
      <c r="F250" s="15" t="s">
        <v>693</v>
      </c>
      <c r="G250" s="63" t="s">
        <v>694</v>
      </c>
      <c r="H250" s="163">
        <f>LEN(B250)-LEN(SUBSTITUTE(B250,",",""))+1</f>
        <v>16</v>
      </c>
      <c r="I250" s="158" t="s">
        <v>695</v>
      </c>
    </row>
    <row r="251" spans="1:9" ht="30" customHeight="1">
      <c r="A251" s="157"/>
      <c r="B251" s="165"/>
      <c r="C251" s="159"/>
      <c r="D251" s="65" t="s">
        <v>696</v>
      </c>
      <c r="E251" s="14" t="s">
        <v>697</v>
      </c>
      <c r="F251" s="15" t="s">
        <v>698</v>
      </c>
      <c r="G251" s="63" t="s">
        <v>699</v>
      </c>
      <c r="H251" s="163"/>
      <c r="I251" s="159"/>
    </row>
    <row r="252" spans="1:9" ht="30" customHeight="1">
      <c r="A252" s="157"/>
      <c r="B252" s="166"/>
      <c r="C252" s="160"/>
      <c r="D252" s="65" t="s">
        <v>700</v>
      </c>
      <c r="E252" s="14" t="s">
        <v>701</v>
      </c>
      <c r="F252" s="15" t="s">
        <v>702</v>
      </c>
      <c r="G252" s="63" t="s">
        <v>703</v>
      </c>
      <c r="H252" s="163"/>
      <c r="I252" s="160"/>
    </row>
    <row r="253" spans="1:9" ht="30" customHeight="1">
      <c r="A253" s="157">
        <v>97</v>
      </c>
      <c r="B253" s="164" t="s">
        <v>585</v>
      </c>
      <c r="C253" s="158" t="s">
        <v>287</v>
      </c>
      <c r="D253" s="65" t="s">
        <v>1741</v>
      </c>
      <c r="E253" s="14" t="s">
        <v>28</v>
      </c>
      <c r="F253" s="15" t="s">
        <v>288</v>
      </c>
      <c r="G253" s="63" t="s">
        <v>284</v>
      </c>
      <c r="H253" s="163">
        <f>LEN(B253)-LEN(SUBSTITUTE(B253,",",""))+1</f>
        <v>1</v>
      </c>
      <c r="I253" s="158" t="s">
        <v>254</v>
      </c>
    </row>
    <row r="254" spans="1:9" ht="30" customHeight="1">
      <c r="A254" s="157"/>
      <c r="B254" s="165"/>
      <c r="C254" s="159"/>
      <c r="D254" s="65" t="s">
        <v>289</v>
      </c>
      <c r="E254" s="14" t="s">
        <v>290</v>
      </c>
      <c r="F254" s="15" t="s">
        <v>1632</v>
      </c>
      <c r="G254" s="63" t="s">
        <v>91</v>
      </c>
      <c r="H254" s="163"/>
      <c r="I254" s="159"/>
    </row>
    <row r="255" spans="1:9" ht="30" customHeight="1">
      <c r="A255" s="157"/>
      <c r="B255" s="166"/>
      <c r="C255" s="160"/>
      <c r="D255" s="65" t="s">
        <v>292</v>
      </c>
      <c r="E255" s="14" t="s">
        <v>293</v>
      </c>
      <c r="F255" s="15" t="s">
        <v>291</v>
      </c>
      <c r="G255" s="63" t="s">
        <v>294</v>
      </c>
      <c r="H255" s="163"/>
      <c r="I255" s="160"/>
    </row>
    <row r="256" spans="1:9" ht="30" customHeight="1">
      <c r="A256" s="157">
        <v>98</v>
      </c>
      <c r="B256" s="164" t="s">
        <v>1433</v>
      </c>
      <c r="C256" s="158" t="s">
        <v>287</v>
      </c>
      <c r="D256" s="12" t="s">
        <v>731</v>
      </c>
      <c r="E256" s="14" t="s">
        <v>295</v>
      </c>
      <c r="F256" s="15" t="s">
        <v>296</v>
      </c>
      <c r="G256" s="63" t="s">
        <v>284</v>
      </c>
      <c r="H256" s="163">
        <f>LEN(B256)-LEN(SUBSTITUTE(B256,",",""))+1</f>
        <v>1</v>
      </c>
      <c r="I256" s="158" t="s">
        <v>254</v>
      </c>
    </row>
    <row r="257" spans="1:12" ht="30" customHeight="1">
      <c r="A257" s="157"/>
      <c r="B257" s="165"/>
      <c r="C257" s="159"/>
      <c r="D257" s="12" t="s">
        <v>297</v>
      </c>
      <c r="E257" s="14" t="s">
        <v>298</v>
      </c>
      <c r="F257" s="15" t="s">
        <v>299</v>
      </c>
      <c r="G257" s="63" t="s">
        <v>91</v>
      </c>
      <c r="H257" s="163"/>
      <c r="I257" s="159"/>
    </row>
    <row r="258" spans="1:12" ht="30" customHeight="1">
      <c r="A258" s="157"/>
      <c r="B258" s="166"/>
      <c r="C258" s="160"/>
      <c r="D258" s="65" t="s">
        <v>121</v>
      </c>
      <c r="E258" s="14" t="s">
        <v>122</v>
      </c>
      <c r="F258" s="15" t="s">
        <v>120</v>
      </c>
      <c r="G258" s="63" t="s">
        <v>37</v>
      </c>
      <c r="H258" s="163"/>
      <c r="I258" s="160"/>
      <c r="J258" s="20"/>
      <c r="K258" s="20"/>
      <c r="L258" s="20"/>
    </row>
    <row r="259" spans="1:12" ht="30" customHeight="1">
      <c r="A259" s="157">
        <v>99</v>
      </c>
      <c r="B259" s="164" t="s">
        <v>620</v>
      </c>
      <c r="C259" s="158" t="s">
        <v>286</v>
      </c>
      <c r="D259" s="12" t="s">
        <v>1742</v>
      </c>
      <c r="E259" s="14" t="s">
        <v>545</v>
      </c>
      <c r="F259" s="15" t="s">
        <v>546</v>
      </c>
      <c r="G259" s="63" t="s">
        <v>283</v>
      </c>
      <c r="H259" s="163">
        <f>LEN(B259)-LEN(SUBSTITUTE(B259,",",""))+1</f>
        <v>1</v>
      </c>
      <c r="I259" s="158" t="s">
        <v>253</v>
      </c>
      <c r="J259" s="20"/>
      <c r="K259" s="20"/>
      <c r="L259" s="20"/>
    </row>
    <row r="260" spans="1:12" ht="30" customHeight="1">
      <c r="A260" s="157"/>
      <c r="B260" s="165"/>
      <c r="C260" s="159"/>
      <c r="D260" s="12" t="s">
        <v>547</v>
      </c>
      <c r="E260" s="14" t="s">
        <v>548</v>
      </c>
      <c r="F260" s="15" t="s">
        <v>549</v>
      </c>
      <c r="G260" s="63" t="s">
        <v>91</v>
      </c>
      <c r="H260" s="163"/>
      <c r="I260" s="159"/>
    </row>
    <row r="261" spans="1:12" ht="30" customHeight="1">
      <c r="A261" s="157"/>
      <c r="B261" s="166"/>
      <c r="C261" s="160"/>
      <c r="D261" s="65" t="s">
        <v>550</v>
      </c>
      <c r="E261" s="14" t="s">
        <v>551</v>
      </c>
      <c r="F261" s="15" t="s">
        <v>552</v>
      </c>
      <c r="G261" s="63" t="s">
        <v>37</v>
      </c>
      <c r="H261" s="163"/>
      <c r="I261" s="160"/>
      <c r="J261" s="20"/>
      <c r="K261" s="20"/>
      <c r="L261" s="20"/>
    </row>
    <row r="262" spans="1:12" ht="30" customHeight="1">
      <c r="A262" s="157">
        <v>100</v>
      </c>
      <c r="B262" s="174" t="s">
        <v>1438</v>
      </c>
      <c r="C262" s="173" t="s">
        <v>1439</v>
      </c>
      <c r="D262" s="9" t="s">
        <v>1743</v>
      </c>
      <c r="E262" s="8" t="s">
        <v>1440</v>
      </c>
      <c r="F262" s="8" t="s">
        <v>1441</v>
      </c>
      <c r="G262" s="9" t="s">
        <v>38</v>
      </c>
      <c r="H262" s="163">
        <f>LEN(B262)-LEN(SUBSTITUTE(B262,",",""))+1</f>
        <v>1</v>
      </c>
      <c r="I262" s="158" t="s">
        <v>254</v>
      </c>
      <c r="J262" s="20"/>
      <c r="K262" s="20"/>
      <c r="L262" s="20"/>
    </row>
    <row r="263" spans="1:12" ht="30" customHeight="1">
      <c r="A263" s="157"/>
      <c r="B263" s="174"/>
      <c r="C263" s="173"/>
      <c r="D263" s="9" t="s">
        <v>1442</v>
      </c>
      <c r="E263" s="8" t="s">
        <v>1443</v>
      </c>
      <c r="F263" s="8" t="s">
        <v>1444</v>
      </c>
      <c r="G263" s="9" t="s">
        <v>91</v>
      </c>
      <c r="H263" s="163"/>
      <c r="I263" s="159"/>
    </row>
    <row r="264" spans="1:12" ht="30" customHeight="1">
      <c r="A264" s="157"/>
      <c r="B264" s="174"/>
      <c r="C264" s="173"/>
      <c r="D264" s="9" t="s">
        <v>1445</v>
      </c>
      <c r="E264" s="8" t="s">
        <v>1446</v>
      </c>
      <c r="F264" s="8" t="s">
        <v>1447</v>
      </c>
      <c r="G264" s="9" t="s">
        <v>37</v>
      </c>
      <c r="H264" s="163"/>
      <c r="I264" s="160"/>
      <c r="J264" s="20"/>
      <c r="K264" s="20"/>
      <c r="L264" s="20"/>
    </row>
    <row r="265" spans="1:12" ht="30" customHeight="1">
      <c r="A265" s="157">
        <v>101</v>
      </c>
      <c r="B265" s="245" t="s">
        <v>1457</v>
      </c>
      <c r="C265" s="158" t="s">
        <v>286</v>
      </c>
      <c r="D265" s="9" t="s">
        <v>1744</v>
      </c>
      <c r="E265" s="8" t="s">
        <v>1470</v>
      </c>
      <c r="F265" s="8" t="s">
        <v>1471</v>
      </c>
      <c r="G265" s="9" t="s">
        <v>38</v>
      </c>
      <c r="H265" s="163">
        <f>LEN(B265)-LEN(SUBSTITUTE(B265,",",""))+1</f>
        <v>1</v>
      </c>
      <c r="I265" s="158" t="s">
        <v>253</v>
      </c>
      <c r="J265" s="20"/>
      <c r="K265" s="20"/>
      <c r="L265" s="20"/>
    </row>
    <row r="266" spans="1:12" s="20" customFormat="1" ht="30" customHeight="1">
      <c r="A266" s="157"/>
      <c r="B266" s="245"/>
      <c r="C266" s="159"/>
      <c r="D266" s="9" t="s">
        <v>1472</v>
      </c>
      <c r="E266" s="8" t="s">
        <v>1473</v>
      </c>
      <c r="F266" s="8" t="s">
        <v>1474</v>
      </c>
      <c r="G266" s="9" t="s">
        <v>91</v>
      </c>
      <c r="H266" s="163"/>
      <c r="I266" s="159"/>
    </row>
    <row r="267" spans="1:12" s="20" customFormat="1" ht="30" customHeight="1">
      <c r="A267" s="157"/>
      <c r="B267" s="245"/>
      <c r="C267" s="160"/>
      <c r="D267" s="9" t="s">
        <v>1475</v>
      </c>
      <c r="E267" s="8" t="s">
        <v>1476</v>
      </c>
      <c r="F267" s="8" t="s">
        <v>1474</v>
      </c>
      <c r="G267" s="9" t="s">
        <v>37</v>
      </c>
      <c r="H267" s="163"/>
      <c r="I267" s="160"/>
    </row>
    <row r="268" spans="1:12" ht="30" customHeight="1">
      <c r="A268" s="157">
        <v>102</v>
      </c>
      <c r="B268" s="164" t="s">
        <v>1331</v>
      </c>
      <c r="C268" s="158" t="s">
        <v>287</v>
      </c>
      <c r="D268" s="12" t="s">
        <v>1745</v>
      </c>
      <c r="E268" s="4" t="s">
        <v>15</v>
      </c>
      <c r="F268" s="15" t="s">
        <v>16</v>
      </c>
      <c r="G268" s="63" t="s">
        <v>284</v>
      </c>
      <c r="H268" s="163">
        <f>LEN(B268)-LEN(SUBSTITUTE(B268,",",""))+1</f>
        <v>3</v>
      </c>
      <c r="I268" s="158" t="s">
        <v>254</v>
      </c>
      <c r="J268" s="20"/>
      <c r="K268" s="20"/>
      <c r="L268" s="20"/>
    </row>
    <row r="269" spans="1:12" s="20" customFormat="1" ht="30" customHeight="1">
      <c r="A269" s="157"/>
      <c r="B269" s="165"/>
      <c r="C269" s="159"/>
      <c r="D269" s="12" t="s">
        <v>300</v>
      </c>
      <c r="E269" s="4" t="s">
        <v>301</v>
      </c>
      <c r="F269" s="15" t="s">
        <v>302</v>
      </c>
      <c r="G269" s="63" t="s">
        <v>91</v>
      </c>
      <c r="H269" s="163"/>
      <c r="I269" s="159"/>
      <c r="J269" s="10"/>
      <c r="K269" s="10"/>
      <c r="L269" s="10"/>
    </row>
    <row r="270" spans="1:12" s="20" customFormat="1" ht="30" customHeight="1">
      <c r="A270" s="157"/>
      <c r="B270" s="166"/>
      <c r="C270" s="160"/>
      <c r="D270" s="65" t="s">
        <v>303</v>
      </c>
      <c r="E270" s="14" t="s">
        <v>304</v>
      </c>
      <c r="F270" s="15" t="s">
        <v>302</v>
      </c>
      <c r="G270" s="63" t="s">
        <v>294</v>
      </c>
      <c r="H270" s="163"/>
      <c r="I270" s="160"/>
    </row>
    <row r="271" spans="1:12" ht="30" customHeight="1">
      <c r="A271" s="157">
        <v>103</v>
      </c>
      <c r="B271" s="164" t="s">
        <v>588</v>
      </c>
      <c r="C271" s="158" t="s">
        <v>287</v>
      </c>
      <c r="D271" s="65" t="s">
        <v>1746</v>
      </c>
      <c r="E271" s="14" t="s">
        <v>305</v>
      </c>
      <c r="F271" s="15" t="s">
        <v>306</v>
      </c>
      <c r="G271" s="63" t="s">
        <v>284</v>
      </c>
      <c r="H271" s="163">
        <f>LEN(B271)-LEN(SUBSTITUTE(B271,",",""))+1</f>
        <v>1</v>
      </c>
      <c r="I271" s="158" t="s">
        <v>254</v>
      </c>
      <c r="J271" s="20"/>
      <c r="K271" s="20"/>
      <c r="L271" s="20"/>
    </row>
    <row r="272" spans="1:12" s="20" customFormat="1" ht="30" customHeight="1">
      <c r="A272" s="157"/>
      <c r="B272" s="165"/>
      <c r="C272" s="159"/>
      <c r="D272" s="65" t="s">
        <v>307</v>
      </c>
      <c r="E272" s="14" t="s">
        <v>308</v>
      </c>
      <c r="F272" s="15" t="s">
        <v>309</v>
      </c>
      <c r="G272" s="63" t="s">
        <v>91</v>
      </c>
      <c r="H272" s="163"/>
      <c r="I272" s="159"/>
      <c r="J272" s="10"/>
      <c r="K272" s="10"/>
      <c r="L272" s="10"/>
    </row>
    <row r="273" spans="1:12" s="20" customFormat="1" ht="30" customHeight="1">
      <c r="A273" s="157"/>
      <c r="B273" s="166"/>
      <c r="C273" s="160"/>
      <c r="D273" s="65" t="s">
        <v>42</v>
      </c>
      <c r="E273" s="14" t="s">
        <v>43</v>
      </c>
      <c r="F273" s="15" t="s">
        <v>44</v>
      </c>
      <c r="G273" s="63" t="s">
        <v>37</v>
      </c>
      <c r="H273" s="163"/>
      <c r="I273" s="160"/>
    </row>
    <row r="274" spans="1:12" s="20" customFormat="1" ht="30" customHeight="1">
      <c r="A274" s="157">
        <v>104</v>
      </c>
      <c r="B274" s="164" t="s">
        <v>619</v>
      </c>
      <c r="C274" s="158" t="s">
        <v>310</v>
      </c>
      <c r="D274" s="12" t="s">
        <v>312</v>
      </c>
      <c r="E274" s="4" t="s">
        <v>313</v>
      </c>
      <c r="F274" s="15" t="s">
        <v>314</v>
      </c>
      <c r="G274" s="63" t="s">
        <v>311</v>
      </c>
      <c r="H274" s="163">
        <f>LEN(B274)-LEN(SUBSTITUTE(B274,",",""))+1</f>
        <v>1</v>
      </c>
      <c r="I274" s="158" t="s">
        <v>257</v>
      </c>
    </row>
    <row r="275" spans="1:12" s="20" customFormat="1" ht="30" customHeight="1">
      <c r="A275" s="157"/>
      <c r="B275" s="165"/>
      <c r="C275" s="159"/>
      <c r="D275" s="12" t="s">
        <v>315</v>
      </c>
      <c r="E275" s="4" t="s">
        <v>316</v>
      </c>
      <c r="F275" s="15" t="s">
        <v>317</v>
      </c>
      <c r="G275" s="63" t="s">
        <v>91</v>
      </c>
      <c r="H275" s="163"/>
      <c r="I275" s="159"/>
      <c r="J275" s="10"/>
      <c r="K275" s="10"/>
      <c r="L275" s="10"/>
    </row>
    <row r="276" spans="1:12" s="20" customFormat="1" ht="30" customHeight="1">
      <c r="A276" s="157"/>
      <c r="B276" s="166"/>
      <c r="C276" s="160"/>
      <c r="D276" s="12" t="s">
        <v>45</v>
      </c>
      <c r="E276" s="4" t="s">
        <v>624</v>
      </c>
      <c r="F276" s="15" t="s">
        <v>46</v>
      </c>
      <c r="G276" s="63" t="s">
        <v>37</v>
      </c>
      <c r="H276" s="163"/>
      <c r="I276" s="160"/>
    </row>
    <row r="277" spans="1:12" ht="30" customHeight="1">
      <c r="A277" s="157">
        <v>105</v>
      </c>
      <c r="B277" s="164" t="s">
        <v>634</v>
      </c>
      <c r="C277" s="158" t="s">
        <v>286</v>
      </c>
      <c r="D277" s="12" t="s">
        <v>1747</v>
      </c>
      <c r="E277" s="4" t="s">
        <v>625</v>
      </c>
      <c r="F277" s="15" t="s">
        <v>626</v>
      </c>
      <c r="G277" s="63" t="s">
        <v>627</v>
      </c>
      <c r="H277" s="163">
        <f>LEN(B277)-LEN(SUBSTITUTE(B277,",",""))+1</f>
        <v>1</v>
      </c>
      <c r="I277" s="158" t="s">
        <v>257</v>
      </c>
      <c r="J277" s="20"/>
      <c r="K277" s="20"/>
      <c r="L277" s="20"/>
    </row>
    <row r="278" spans="1:12" s="20" customFormat="1" ht="30" customHeight="1">
      <c r="A278" s="157"/>
      <c r="B278" s="165"/>
      <c r="C278" s="159"/>
      <c r="D278" s="12" t="s">
        <v>628</v>
      </c>
      <c r="E278" s="4" t="s">
        <v>629</v>
      </c>
      <c r="F278" s="15" t="s">
        <v>630</v>
      </c>
      <c r="G278" s="63" t="s">
        <v>631</v>
      </c>
      <c r="H278" s="163"/>
      <c r="I278" s="159"/>
      <c r="J278" s="10"/>
      <c r="K278" s="10"/>
      <c r="L278" s="10"/>
    </row>
    <row r="279" spans="1:12" s="20" customFormat="1" ht="30" customHeight="1">
      <c r="A279" s="157"/>
      <c r="B279" s="166"/>
      <c r="C279" s="160"/>
      <c r="D279" s="12" t="s">
        <v>632</v>
      </c>
      <c r="E279" s="4" t="s">
        <v>633</v>
      </c>
      <c r="F279" s="15" t="s">
        <v>630</v>
      </c>
      <c r="G279" s="63" t="s">
        <v>294</v>
      </c>
      <c r="H279" s="163"/>
      <c r="I279" s="160"/>
    </row>
    <row r="280" spans="1:12" ht="30" customHeight="1">
      <c r="A280" s="157">
        <v>106</v>
      </c>
      <c r="B280" s="164" t="s">
        <v>1866</v>
      </c>
      <c r="C280" s="158" t="s">
        <v>572</v>
      </c>
      <c r="D280" s="65" t="s">
        <v>1748</v>
      </c>
      <c r="E280" s="14" t="s">
        <v>318</v>
      </c>
      <c r="F280" s="15" t="s">
        <v>319</v>
      </c>
      <c r="G280" s="63" t="s">
        <v>283</v>
      </c>
      <c r="H280" s="163">
        <f>LEN(B280)-LEN(SUBSTITUTE(B280,",",""))+1</f>
        <v>14</v>
      </c>
      <c r="I280" s="158" t="s">
        <v>253</v>
      </c>
      <c r="J280" s="20"/>
      <c r="K280" s="20"/>
      <c r="L280" s="20"/>
    </row>
    <row r="281" spans="1:12" s="20" customFormat="1" ht="30" customHeight="1">
      <c r="A281" s="157"/>
      <c r="B281" s="165"/>
      <c r="C281" s="159"/>
      <c r="D281" s="65" t="s">
        <v>320</v>
      </c>
      <c r="E281" s="14" t="s">
        <v>321</v>
      </c>
      <c r="F281" s="15" t="s">
        <v>573</v>
      </c>
      <c r="G281" s="63" t="s">
        <v>91</v>
      </c>
      <c r="H281" s="163"/>
      <c r="I281" s="159"/>
    </row>
    <row r="282" spans="1:12" s="20" customFormat="1" ht="30" customHeight="1">
      <c r="A282" s="157"/>
      <c r="B282" s="166"/>
      <c r="C282" s="160"/>
      <c r="D282" s="65" t="s">
        <v>39</v>
      </c>
      <c r="E282" s="14" t="s">
        <v>40</v>
      </c>
      <c r="F282" s="15" t="s">
        <v>41</v>
      </c>
      <c r="G282" s="63" t="s">
        <v>37</v>
      </c>
      <c r="H282" s="163"/>
      <c r="I282" s="160"/>
    </row>
    <row r="283" spans="1:12" ht="30" customHeight="1">
      <c r="A283" s="157">
        <v>107</v>
      </c>
      <c r="B283" s="164" t="s">
        <v>1528</v>
      </c>
      <c r="C283" s="158" t="s">
        <v>286</v>
      </c>
      <c r="D283" s="65" t="s">
        <v>322</v>
      </c>
      <c r="E283" s="14" t="s">
        <v>323</v>
      </c>
      <c r="F283" s="15" t="s">
        <v>324</v>
      </c>
      <c r="G283" s="63" t="s">
        <v>283</v>
      </c>
      <c r="H283" s="163">
        <f>LEN(B283)-LEN(SUBSTITUTE(B283,",",""))+1</f>
        <v>1</v>
      </c>
      <c r="I283" s="158" t="s">
        <v>253</v>
      </c>
      <c r="J283" s="20"/>
      <c r="K283" s="20"/>
      <c r="L283" s="20"/>
    </row>
    <row r="284" spans="1:12" s="20" customFormat="1" ht="30" customHeight="1">
      <c r="A284" s="157"/>
      <c r="B284" s="165"/>
      <c r="C284" s="159"/>
      <c r="D284" s="65" t="s">
        <v>325</v>
      </c>
      <c r="E284" s="14" t="s">
        <v>326</v>
      </c>
      <c r="F284" s="15" t="s">
        <v>327</v>
      </c>
      <c r="G284" s="63" t="s">
        <v>91</v>
      </c>
      <c r="H284" s="163"/>
      <c r="I284" s="159"/>
      <c r="J284" s="10"/>
      <c r="K284" s="10"/>
      <c r="L284" s="10"/>
    </row>
    <row r="285" spans="1:12" s="20" customFormat="1" ht="30" customHeight="1">
      <c r="A285" s="157"/>
      <c r="B285" s="166"/>
      <c r="C285" s="160"/>
      <c r="D285" s="65" t="s">
        <v>47</v>
      </c>
      <c r="E285" s="14" t="s">
        <v>48</v>
      </c>
      <c r="F285" s="15" t="s">
        <v>49</v>
      </c>
      <c r="G285" s="63" t="s">
        <v>37</v>
      </c>
      <c r="H285" s="163"/>
      <c r="I285" s="160"/>
    </row>
    <row r="286" spans="1:12" ht="30" customHeight="1">
      <c r="A286" s="157">
        <v>108</v>
      </c>
      <c r="B286" s="164" t="s">
        <v>1869</v>
      </c>
      <c r="C286" s="158" t="s">
        <v>286</v>
      </c>
      <c r="D286" s="65" t="s">
        <v>328</v>
      </c>
      <c r="E286" s="15" t="s">
        <v>556</v>
      </c>
      <c r="F286" s="15" t="s">
        <v>329</v>
      </c>
      <c r="G286" s="63" t="s">
        <v>283</v>
      </c>
      <c r="H286" s="163">
        <f>LEN(B286)-LEN(SUBSTITUTE(B286,",",""))+1</f>
        <v>5</v>
      </c>
      <c r="I286" s="158" t="s">
        <v>253</v>
      </c>
      <c r="J286" s="20"/>
      <c r="K286" s="20"/>
      <c r="L286" s="20"/>
    </row>
    <row r="287" spans="1:12" s="20" customFormat="1" ht="30" customHeight="1">
      <c r="A287" s="157"/>
      <c r="B287" s="165"/>
      <c r="C287" s="159"/>
      <c r="D287" s="65" t="s">
        <v>330</v>
      </c>
      <c r="E287" s="15" t="s">
        <v>331</v>
      </c>
      <c r="F287" s="15" t="s">
        <v>332</v>
      </c>
      <c r="G287" s="63" t="s">
        <v>91</v>
      </c>
      <c r="H287" s="163"/>
      <c r="I287" s="159"/>
      <c r="J287" s="10"/>
      <c r="K287" s="10"/>
      <c r="L287" s="10"/>
    </row>
    <row r="288" spans="1:12" s="20" customFormat="1" ht="30" customHeight="1">
      <c r="A288" s="157"/>
      <c r="B288" s="166"/>
      <c r="C288" s="160"/>
      <c r="D288" s="65" t="s">
        <v>50</v>
      </c>
      <c r="E288" s="15" t="s">
        <v>51</v>
      </c>
      <c r="F288" s="15" t="s">
        <v>52</v>
      </c>
      <c r="G288" s="63" t="s">
        <v>37</v>
      </c>
      <c r="H288" s="163"/>
      <c r="I288" s="160"/>
    </row>
    <row r="289" spans="1:12" s="20" customFormat="1" ht="30" customHeight="1">
      <c r="A289" s="157">
        <v>109</v>
      </c>
      <c r="B289" s="164" t="s">
        <v>1423</v>
      </c>
      <c r="C289" s="158" t="s">
        <v>286</v>
      </c>
      <c r="D289" s="65" t="s">
        <v>881</v>
      </c>
      <c r="E289" s="14" t="s">
        <v>882</v>
      </c>
      <c r="F289" s="15" t="s">
        <v>883</v>
      </c>
      <c r="G289" s="63" t="s">
        <v>884</v>
      </c>
      <c r="H289" s="163">
        <f>LEN(B289)-LEN(SUBSTITUTE(B289,",",""))+1</f>
        <v>1</v>
      </c>
      <c r="I289" s="158" t="s">
        <v>253</v>
      </c>
    </row>
    <row r="290" spans="1:12" s="20" customFormat="1" ht="30" customHeight="1">
      <c r="A290" s="157"/>
      <c r="B290" s="165"/>
      <c r="C290" s="159"/>
      <c r="D290" s="65" t="s">
        <v>885</v>
      </c>
      <c r="E290" s="14" t="s">
        <v>886</v>
      </c>
      <c r="F290" s="15" t="s">
        <v>887</v>
      </c>
      <c r="G290" s="63" t="s">
        <v>91</v>
      </c>
      <c r="H290" s="163"/>
      <c r="I290" s="159"/>
      <c r="J290" s="10"/>
      <c r="K290" s="10"/>
      <c r="L290" s="10"/>
    </row>
    <row r="291" spans="1:12" s="20" customFormat="1" ht="30" customHeight="1">
      <c r="A291" s="157"/>
      <c r="B291" s="166"/>
      <c r="C291" s="160"/>
      <c r="D291" s="65" t="s">
        <v>888</v>
      </c>
      <c r="E291" s="14" t="s">
        <v>889</v>
      </c>
      <c r="F291" s="15" t="s">
        <v>890</v>
      </c>
      <c r="G291" s="63" t="s">
        <v>37</v>
      </c>
      <c r="H291" s="163"/>
      <c r="I291" s="160"/>
    </row>
    <row r="292" spans="1:12" ht="30" customHeight="1">
      <c r="A292" s="157">
        <v>110</v>
      </c>
      <c r="B292" s="164" t="s">
        <v>607</v>
      </c>
      <c r="C292" s="158" t="s">
        <v>286</v>
      </c>
      <c r="D292" s="65" t="s">
        <v>333</v>
      </c>
      <c r="E292" s="14" t="s">
        <v>334</v>
      </c>
      <c r="F292" s="15" t="s">
        <v>335</v>
      </c>
      <c r="G292" s="63" t="s">
        <v>283</v>
      </c>
      <c r="H292" s="163">
        <f>LEN(B292)-LEN(SUBSTITUTE(B292,",",""))+1</f>
        <v>1</v>
      </c>
      <c r="I292" s="158" t="s">
        <v>253</v>
      </c>
      <c r="J292" s="20"/>
      <c r="K292" s="20"/>
      <c r="L292" s="20"/>
    </row>
    <row r="293" spans="1:12" s="20" customFormat="1" ht="30" customHeight="1">
      <c r="A293" s="157"/>
      <c r="B293" s="165"/>
      <c r="C293" s="159"/>
      <c r="D293" s="65" t="s">
        <v>336</v>
      </c>
      <c r="E293" s="14" t="s">
        <v>608</v>
      </c>
      <c r="F293" s="15" t="s">
        <v>337</v>
      </c>
      <c r="G293" s="63" t="s">
        <v>91</v>
      </c>
      <c r="H293" s="163"/>
      <c r="I293" s="159"/>
      <c r="J293" s="10"/>
      <c r="K293" s="10"/>
      <c r="L293" s="10"/>
    </row>
    <row r="294" spans="1:12" s="20" customFormat="1" ht="30" customHeight="1">
      <c r="A294" s="157"/>
      <c r="B294" s="166"/>
      <c r="C294" s="160"/>
      <c r="D294" s="65" t="s">
        <v>53</v>
      </c>
      <c r="E294" s="14" t="s">
        <v>609</v>
      </c>
      <c r="F294" s="15" t="s">
        <v>54</v>
      </c>
      <c r="G294" s="63" t="s">
        <v>37</v>
      </c>
      <c r="H294" s="163"/>
      <c r="I294" s="160"/>
    </row>
    <row r="295" spans="1:12" ht="30" customHeight="1">
      <c r="A295" s="157">
        <v>111</v>
      </c>
      <c r="B295" s="164" t="s">
        <v>1302</v>
      </c>
      <c r="C295" s="158" t="s">
        <v>286</v>
      </c>
      <c r="D295" s="65" t="s">
        <v>1749</v>
      </c>
      <c r="E295" s="14" t="s">
        <v>612</v>
      </c>
      <c r="F295" s="15" t="s">
        <v>613</v>
      </c>
      <c r="G295" s="63" t="s">
        <v>311</v>
      </c>
      <c r="H295" s="163">
        <f>LEN(B295)-LEN(SUBSTITUTE(B295,",",""))+1</f>
        <v>2</v>
      </c>
      <c r="I295" s="158" t="s">
        <v>253</v>
      </c>
      <c r="J295" s="20"/>
      <c r="K295" s="20"/>
      <c r="L295" s="20"/>
    </row>
    <row r="296" spans="1:12" s="20" customFormat="1" ht="30" customHeight="1">
      <c r="A296" s="157"/>
      <c r="B296" s="165"/>
      <c r="C296" s="159"/>
      <c r="D296" s="65" t="s">
        <v>614</v>
      </c>
      <c r="E296" s="14" t="s">
        <v>615</v>
      </c>
      <c r="F296" s="15" t="s">
        <v>616</v>
      </c>
      <c r="G296" s="63" t="s">
        <v>91</v>
      </c>
      <c r="H296" s="163"/>
      <c r="I296" s="159"/>
    </row>
    <row r="297" spans="1:12" s="20" customFormat="1" ht="30" customHeight="1">
      <c r="A297" s="157"/>
      <c r="B297" s="166"/>
      <c r="C297" s="160"/>
      <c r="D297" s="65" t="s">
        <v>610</v>
      </c>
      <c r="E297" s="14" t="s">
        <v>617</v>
      </c>
      <c r="F297" s="15" t="s">
        <v>611</v>
      </c>
      <c r="G297" s="63" t="s">
        <v>37</v>
      </c>
      <c r="H297" s="163"/>
      <c r="I297" s="160"/>
    </row>
    <row r="298" spans="1:12" ht="30" customHeight="1">
      <c r="A298" s="157">
        <v>112</v>
      </c>
      <c r="B298" s="164" t="s">
        <v>618</v>
      </c>
      <c r="C298" s="158" t="s">
        <v>286</v>
      </c>
      <c r="D298" s="65" t="s">
        <v>1750</v>
      </c>
      <c r="E298" s="14" t="s">
        <v>338</v>
      </c>
      <c r="F298" s="15" t="s">
        <v>339</v>
      </c>
      <c r="G298" s="63" t="s">
        <v>283</v>
      </c>
      <c r="H298" s="163">
        <f>LEN(B298)-LEN(SUBSTITUTE(B298,",",""))+1</f>
        <v>2</v>
      </c>
      <c r="I298" s="158" t="s">
        <v>253</v>
      </c>
      <c r="J298" s="20"/>
      <c r="K298" s="20"/>
      <c r="L298" s="20"/>
    </row>
    <row r="299" spans="1:12" s="20" customFormat="1" ht="30" customHeight="1">
      <c r="A299" s="157"/>
      <c r="B299" s="165"/>
      <c r="C299" s="159"/>
      <c r="D299" s="65" t="s">
        <v>718</v>
      </c>
      <c r="E299" s="14" t="s">
        <v>340</v>
      </c>
      <c r="F299" s="15" t="s">
        <v>341</v>
      </c>
      <c r="G299" s="63" t="s">
        <v>91</v>
      </c>
      <c r="H299" s="163"/>
      <c r="I299" s="159"/>
      <c r="J299" s="10"/>
      <c r="K299" s="10"/>
      <c r="L299" s="10"/>
    </row>
    <row r="300" spans="1:12" s="20" customFormat="1" ht="30" customHeight="1">
      <c r="A300" s="157"/>
      <c r="B300" s="166"/>
      <c r="C300" s="160"/>
      <c r="D300" s="65" t="s">
        <v>55</v>
      </c>
      <c r="E300" s="14" t="s">
        <v>56</v>
      </c>
      <c r="F300" s="15" t="s">
        <v>57</v>
      </c>
      <c r="G300" s="63" t="s">
        <v>37</v>
      </c>
      <c r="H300" s="163"/>
      <c r="I300" s="160"/>
    </row>
    <row r="301" spans="1:12" ht="30" customHeight="1">
      <c r="A301" s="157">
        <v>113</v>
      </c>
      <c r="B301" s="164" t="s">
        <v>1394</v>
      </c>
      <c r="C301" s="158" t="s">
        <v>286</v>
      </c>
      <c r="D301" s="12" t="s">
        <v>1751</v>
      </c>
      <c r="E301" s="14" t="s">
        <v>342</v>
      </c>
      <c r="F301" s="15" t="s">
        <v>343</v>
      </c>
      <c r="G301" s="63" t="s">
        <v>283</v>
      </c>
      <c r="H301" s="163">
        <f>LEN(B301)-LEN(SUBSTITUTE(B301,",",""))+1</f>
        <v>4</v>
      </c>
      <c r="I301" s="158" t="s">
        <v>253</v>
      </c>
      <c r="J301" s="20"/>
      <c r="K301" s="20"/>
      <c r="L301" s="20"/>
    </row>
    <row r="302" spans="1:12" s="20" customFormat="1" ht="30" customHeight="1">
      <c r="A302" s="157"/>
      <c r="B302" s="165"/>
      <c r="C302" s="159"/>
      <c r="D302" s="12" t="s">
        <v>344</v>
      </c>
      <c r="E302" s="14" t="s">
        <v>345</v>
      </c>
      <c r="F302" s="15" t="s">
        <v>346</v>
      </c>
      <c r="G302" s="63" t="s">
        <v>91</v>
      </c>
      <c r="H302" s="163"/>
      <c r="I302" s="159"/>
      <c r="J302" s="10"/>
      <c r="K302" s="10"/>
      <c r="L302" s="10"/>
    </row>
    <row r="303" spans="1:12" s="20" customFormat="1" ht="30" customHeight="1">
      <c r="A303" s="157"/>
      <c r="B303" s="166"/>
      <c r="C303" s="160"/>
      <c r="D303" s="12" t="s">
        <v>58</v>
      </c>
      <c r="E303" s="14" t="s">
        <v>347</v>
      </c>
      <c r="F303" s="15" t="s">
        <v>59</v>
      </c>
      <c r="G303" s="63" t="s">
        <v>37</v>
      </c>
      <c r="H303" s="163"/>
      <c r="I303" s="160"/>
    </row>
    <row r="304" spans="1:12" s="20" customFormat="1" ht="30" customHeight="1">
      <c r="A304" s="157">
        <v>114</v>
      </c>
      <c r="B304" s="174" t="s">
        <v>1374</v>
      </c>
      <c r="C304" s="173" t="s">
        <v>286</v>
      </c>
      <c r="D304" s="9" t="s">
        <v>1752</v>
      </c>
      <c r="E304" s="8" t="s">
        <v>1375</v>
      </c>
      <c r="F304" s="8" t="s">
        <v>1376</v>
      </c>
      <c r="G304" s="9" t="s">
        <v>38</v>
      </c>
      <c r="H304" s="163">
        <f>LEN(B304)-LEN(SUBSTITUTE(B304,",",""))+1</f>
        <v>2</v>
      </c>
      <c r="I304" s="158" t="s">
        <v>253</v>
      </c>
    </row>
    <row r="305" spans="1:12" s="20" customFormat="1" ht="30" customHeight="1">
      <c r="A305" s="157"/>
      <c r="B305" s="174"/>
      <c r="C305" s="173"/>
      <c r="D305" s="9" t="s">
        <v>1377</v>
      </c>
      <c r="E305" s="8" t="s">
        <v>1378</v>
      </c>
      <c r="F305" s="8" t="s">
        <v>1379</v>
      </c>
      <c r="G305" s="9" t="s">
        <v>91</v>
      </c>
      <c r="H305" s="163"/>
      <c r="I305" s="159"/>
    </row>
    <row r="306" spans="1:12" s="20" customFormat="1" ht="30" customHeight="1">
      <c r="A306" s="157"/>
      <c r="B306" s="174"/>
      <c r="C306" s="173"/>
      <c r="D306" s="9" t="s">
        <v>1380</v>
      </c>
      <c r="E306" s="8" t="s">
        <v>1381</v>
      </c>
      <c r="F306" s="8" t="s">
        <v>1382</v>
      </c>
      <c r="G306" s="9" t="s">
        <v>37</v>
      </c>
      <c r="H306" s="163"/>
      <c r="I306" s="160"/>
    </row>
    <row r="307" spans="1:12" ht="30" customHeight="1">
      <c r="A307" s="157">
        <v>115</v>
      </c>
      <c r="B307" s="164" t="s">
        <v>1554</v>
      </c>
      <c r="C307" s="158" t="s">
        <v>286</v>
      </c>
      <c r="D307" s="12" t="s">
        <v>1753</v>
      </c>
      <c r="E307" s="14" t="s">
        <v>348</v>
      </c>
      <c r="F307" s="15" t="s">
        <v>349</v>
      </c>
      <c r="G307" s="63" t="s">
        <v>283</v>
      </c>
      <c r="H307" s="163">
        <f>LEN(B307)-LEN(SUBSTITUTE(B307,",",""))+1</f>
        <v>2</v>
      </c>
      <c r="I307" s="158" t="s">
        <v>253</v>
      </c>
      <c r="J307" s="20"/>
      <c r="K307" s="20"/>
      <c r="L307" s="20"/>
    </row>
    <row r="308" spans="1:12" s="20" customFormat="1" ht="30" customHeight="1">
      <c r="A308" s="157"/>
      <c r="B308" s="165"/>
      <c r="C308" s="159"/>
      <c r="D308" s="12" t="s">
        <v>350</v>
      </c>
      <c r="E308" s="14" t="s">
        <v>351</v>
      </c>
      <c r="F308" s="15" t="s">
        <v>352</v>
      </c>
      <c r="G308" s="63" t="s">
        <v>91</v>
      </c>
      <c r="H308" s="163"/>
      <c r="I308" s="159"/>
      <c r="J308" s="10"/>
      <c r="K308" s="10"/>
      <c r="L308" s="10"/>
    </row>
    <row r="309" spans="1:12" s="20" customFormat="1" ht="30" customHeight="1">
      <c r="A309" s="157"/>
      <c r="B309" s="166"/>
      <c r="C309" s="160"/>
      <c r="D309" s="12" t="s">
        <v>353</v>
      </c>
      <c r="E309" s="14" t="s">
        <v>354</v>
      </c>
      <c r="F309" s="15" t="s">
        <v>352</v>
      </c>
      <c r="G309" s="63" t="s">
        <v>37</v>
      </c>
      <c r="H309" s="163"/>
      <c r="I309" s="160"/>
    </row>
    <row r="310" spans="1:12" ht="30" customHeight="1">
      <c r="A310" s="157">
        <v>116</v>
      </c>
      <c r="B310" s="164" t="s">
        <v>1461</v>
      </c>
      <c r="C310" s="158" t="s">
        <v>286</v>
      </c>
      <c r="D310" s="12" t="s">
        <v>1754</v>
      </c>
      <c r="E310" s="4" t="s">
        <v>555</v>
      </c>
      <c r="F310" s="15" t="s">
        <v>14</v>
      </c>
      <c r="G310" s="63" t="s">
        <v>283</v>
      </c>
      <c r="H310" s="163">
        <f>LEN(B310)-LEN(SUBSTITUTE(B310,",",""))+1</f>
        <v>4</v>
      </c>
      <c r="I310" s="158" t="s">
        <v>253</v>
      </c>
      <c r="J310" s="20"/>
      <c r="K310" s="20"/>
      <c r="L310" s="20"/>
    </row>
    <row r="311" spans="1:12" s="20" customFormat="1" ht="30" customHeight="1">
      <c r="A311" s="157"/>
      <c r="B311" s="165"/>
      <c r="C311" s="159"/>
      <c r="D311" s="12" t="s">
        <v>355</v>
      </c>
      <c r="E311" s="4" t="s">
        <v>356</v>
      </c>
      <c r="F311" s="15" t="s">
        <v>357</v>
      </c>
      <c r="G311" s="63" t="s">
        <v>91</v>
      </c>
      <c r="H311" s="163"/>
      <c r="I311" s="159"/>
      <c r="J311" s="10"/>
      <c r="K311" s="10"/>
      <c r="L311" s="10"/>
    </row>
    <row r="312" spans="1:12" s="20" customFormat="1" ht="30" customHeight="1">
      <c r="A312" s="157"/>
      <c r="B312" s="166"/>
      <c r="C312" s="160"/>
      <c r="D312" s="12" t="s">
        <v>60</v>
      </c>
      <c r="E312" s="4" t="s">
        <v>61</v>
      </c>
      <c r="F312" s="15" t="s">
        <v>62</v>
      </c>
      <c r="G312" s="63" t="s">
        <v>37</v>
      </c>
      <c r="H312" s="163"/>
      <c r="I312" s="160"/>
    </row>
    <row r="313" spans="1:12" s="20" customFormat="1" ht="30" customHeight="1">
      <c r="A313" s="157">
        <v>118</v>
      </c>
      <c r="B313" s="174" t="s">
        <v>1448</v>
      </c>
      <c r="C313" s="173" t="s">
        <v>1449</v>
      </c>
      <c r="D313" s="9" t="s">
        <v>1755</v>
      </c>
      <c r="E313" s="8" t="s">
        <v>1450</v>
      </c>
      <c r="F313" s="8" t="s">
        <v>1451</v>
      </c>
      <c r="G313" s="9" t="s">
        <v>38</v>
      </c>
      <c r="H313" s="163">
        <f>LEN(B313)-LEN(SUBSTITUTE(B313,",",""))+1</f>
        <v>1</v>
      </c>
      <c r="I313" s="158" t="s">
        <v>253</v>
      </c>
    </row>
    <row r="314" spans="1:12" s="20" customFormat="1" ht="30" customHeight="1">
      <c r="A314" s="157"/>
      <c r="B314" s="174"/>
      <c r="C314" s="173"/>
      <c r="D314" s="9" t="s">
        <v>1452</v>
      </c>
      <c r="E314" s="8" t="s">
        <v>1453</v>
      </c>
      <c r="F314" s="8" t="s">
        <v>1454</v>
      </c>
      <c r="G314" s="9" t="s">
        <v>91</v>
      </c>
      <c r="H314" s="163"/>
      <c r="I314" s="159"/>
    </row>
    <row r="315" spans="1:12" s="20" customFormat="1" ht="30" customHeight="1">
      <c r="A315" s="157"/>
      <c r="B315" s="174"/>
      <c r="C315" s="173"/>
      <c r="D315" s="9" t="s">
        <v>1455</v>
      </c>
      <c r="E315" s="8" t="s">
        <v>1456</v>
      </c>
      <c r="F315" s="8" t="s">
        <v>1454</v>
      </c>
      <c r="G315" s="9" t="s">
        <v>37</v>
      </c>
      <c r="H315" s="163"/>
      <c r="I315" s="160"/>
    </row>
    <row r="316" spans="1:12" ht="30" customHeight="1">
      <c r="A316" s="157">
        <v>119</v>
      </c>
      <c r="B316" s="164" t="s">
        <v>1868</v>
      </c>
      <c r="C316" s="158" t="s">
        <v>287</v>
      </c>
      <c r="D316" s="65" t="s">
        <v>1756</v>
      </c>
      <c r="E316" s="14" t="s">
        <v>574</v>
      </c>
      <c r="F316" s="15" t="s">
        <v>358</v>
      </c>
      <c r="G316" s="63" t="s">
        <v>575</v>
      </c>
      <c r="H316" s="163">
        <f>LEN(B316)-LEN(SUBSTITUTE(B316,",",""))+1</f>
        <v>3</v>
      </c>
      <c r="I316" s="158" t="s">
        <v>253</v>
      </c>
      <c r="J316" s="20"/>
      <c r="K316" s="20"/>
      <c r="L316" s="20"/>
    </row>
    <row r="317" spans="1:12" s="20" customFormat="1" ht="30" customHeight="1">
      <c r="A317" s="157"/>
      <c r="B317" s="165"/>
      <c r="C317" s="159"/>
      <c r="D317" s="65" t="s">
        <v>576</v>
      </c>
      <c r="E317" s="14" t="s">
        <v>359</v>
      </c>
      <c r="F317" s="15" t="s">
        <v>577</v>
      </c>
      <c r="G317" s="63" t="s">
        <v>91</v>
      </c>
      <c r="H317" s="163"/>
      <c r="I317" s="159"/>
      <c r="J317" s="10"/>
      <c r="K317" s="10"/>
      <c r="L317" s="10"/>
    </row>
    <row r="318" spans="1:12" s="20" customFormat="1" ht="30" customHeight="1">
      <c r="A318" s="157"/>
      <c r="B318" s="166"/>
      <c r="C318" s="160"/>
      <c r="D318" s="65" t="s">
        <v>63</v>
      </c>
      <c r="E318" s="14" t="s">
        <v>64</v>
      </c>
      <c r="F318" s="15" t="s">
        <v>65</v>
      </c>
      <c r="G318" s="63" t="s">
        <v>37</v>
      </c>
      <c r="H318" s="163"/>
      <c r="I318" s="160"/>
    </row>
    <row r="319" spans="1:12" ht="30" customHeight="1">
      <c r="A319" s="157">
        <v>120</v>
      </c>
      <c r="B319" s="164" t="s">
        <v>599</v>
      </c>
      <c r="C319" s="158" t="s">
        <v>286</v>
      </c>
      <c r="D319" s="12" t="s">
        <v>1757</v>
      </c>
      <c r="E319" s="7" t="s">
        <v>360</v>
      </c>
      <c r="F319" s="7" t="s">
        <v>361</v>
      </c>
      <c r="G319" s="63" t="s">
        <v>283</v>
      </c>
      <c r="H319" s="163">
        <f>LEN(B319)-LEN(SUBSTITUTE(B319,",",""))+1</f>
        <v>2</v>
      </c>
      <c r="I319" s="158" t="s">
        <v>253</v>
      </c>
      <c r="J319" s="20"/>
      <c r="K319" s="20"/>
      <c r="L319" s="20"/>
    </row>
    <row r="320" spans="1:12" s="20" customFormat="1" ht="30" customHeight="1">
      <c r="A320" s="157"/>
      <c r="B320" s="165"/>
      <c r="C320" s="159"/>
      <c r="D320" s="12" t="s">
        <v>362</v>
      </c>
      <c r="E320" s="7" t="s">
        <v>363</v>
      </c>
      <c r="F320" s="7" t="s">
        <v>364</v>
      </c>
      <c r="G320" s="63" t="s">
        <v>91</v>
      </c>
      <c r="H320" s="163"/>
      <c r="I320" s="159"/>
    </row>
    <row r="321" spans="1:12" s="20" customFormat="1" ht="30" customHeight="1">
      <c r="A321" s="157"/>
      <c r="B321" s="166"/>
      <c r="C321" s="160"/>
      <c r="D321" s="65" t="s">
        <v>365</v>
      </c>
      <c r="E321" s="14" t="s">
        <v>366</v>
      </c>
      <c r="F321" s="15" t="s">
        <v>364</v>
      </c>
      <c r="G321" s="63" t="s">
        <v>37</v>
      </c>
      <c r="H321" s="163"/>
      <c r="I321" s="160"/>
    </row>
    <row r="322" spans="1:12" s="20" customFormat="1" ht="30" customHeight="1">
      <c r="A322" s="157">
        <v>121</v>
      </c>
      <c r="B322" s="174" t="s">
        <v>1413</v>
      </c>
      <c r="C322" s="173" t="s">
        <v>286</v>
      </c>
      <c r="D322" s="9" t="s">
        <v>1759</v>
      </c>
      <c r="E322" s="8" t="s">
        <v>1414</v>
      </c>
      <c r="F322" s="8" t="s">
        <v>1415</v>
      </c>
      <c r="G322" s="9" t="s">
        <v>38</v>
      </c>
      <c r="H322" s="163">
        <f>LEN(B322)-LEN(SUBSTITUTE(B322,",",""))+1</f>
        <v>1</v>
      </c>
      <c r="I322" s="158" t="s">
        <v>253</v>
      </c>
    </row>
    <row r="323" spans="1:12" s="20" customFormat="1" ht="30" customHeight="1">
      <c r="A323" s="157"/>
      <c r="B323" s="174"/>
      <c r="C323" s="173"/>
      <c r="D323" s="9" t="s">
        <v>1758</v>
      </c>
      <c r="E323" s="8" t="s">
        <v>1416</v>
      </c>
      <c r="F323" s="8" t="s">
        <v>1417</v>
      </c>
      <c r="G323" s="9" t="s">
        <v>91</v>
      </c>
      <c r="H323" s="163"/>
      <c r="I323" s="159"/>
    </row>
    <row r="324" spans="1:12" s="20" customFormat="1" ht="30" customHeight="1">
      <c r="A324" s="157"/>
      <c r="B324" s="174"/>
      <c r="C324" s="173"/>
      <c r="D324" s="9" t="s">
        <v>1418</v>
      </c>
      <c r="E324" s="8" t="s">
        <v>1419</v>
      </c>
      <c r="F324" s="8" t="s">
        <v>1420</v>
      </c>
      <c r="G324" s="9" t="s">
        <v>37</v>
      </c>
      <c r="H324" s="163"/>
      <c r="I324" s="160"/>
    </row>
    <row r="325" spans="1:12" ht="30" customHeight="1">
      <c r="A325" s="157">
        <v>122</v>
      </c>
      <c r="B325" s="164" t="s">
        <v>1578</v>
      </c>
      <c r="C325" s="158" t="s">
        <v>286</v>
      </c>
      <c r="D325" s="65" t="s">
        <v>367</v>
      </c>
      <c r="E325" s="14" t="s">
        <v>1384</v>
      </c>
      <c r="F325" s="15" t="s">
        <v>368</v>
      </c>
      <c r="G325" s="63" t="s">
        <v>283</v>
      </c>
      <c r="H325" s="163">
        <f>LEN(B325)-LEN(SUBSTITUTE(B325,",",""))+1</f>
        <v>3</v>
      </c>
      <c r="I325" s="158" t="s">
        <v>253</v>
      </c>
      <c r="J325" s="20"/>
      <c r="K325" s="20"/>
      <c r="L325" s="20"/>
    </row>
    <row r="326" spans="1:12" s="20" customFormat="1" ht="30" customHeight="1">
      <c r="A326" s="157"/>
      <c r="B326" s="165"/>
      <c r="C326" s="159"/>
      <c r="D326" s="65" t="s">
        <v>369</v>
      </c>
      <c r="E326" s="14" t="s">
        <v>1387</v>
      </c>
      <c r="F326" s="15" t="s">
        <v>370</v>
      </c>
      <c r="G326" s="63" t="s">
        <v>91</v>
      </c>
      <c r="H326" s="163"/>
      <c r="I326" s="159"/>
      <c r="J326" s="10"/>
      <c r="K326" s="10"/>
      <c r="L326" s="10"/>
    </row>
    <row r="327" spans="1:12" s="20" customFormat="1" ht="30" customHeight="1">
      <c r="A327" s="157"/>
      <c r="B327" s="166"/>
      <c r="C327" s="160"/>
      <c r="D327" s="65" t="s">
        <v>123</v>
      </c>
      <c r="E327" s="14" t="s">
        <v>1391</v>
      </c>
      <c r="F327" s="15" t="s">
        <v>124</v>
      </c>
      <c r="G327" s="63" t="s">
        <v>37</v>
      </c>
      <c r="H327" s="163"/>
      <c r="I327" s="160"/>
    </row>
    <row r="328" spans="1:12" s="20" customFormat="1" ht="30" customHeight="1">
      <c r="A328" s="157">
        <v>123</v>
      </c>
      <c r="B328" s="164" t="s">
        <v>1383</v>
      </c>
      <c r="C328" s="158" t="s">
        <v>286</v>
      </c>
      <c r="D328" s="65" t="s">
        <v>1760</v>
      </c>
      <c r="E328" s="14" t="s">
        <v>1385</v>
      </c>
      <c r="F328" s="15" t="s">
        <v>1386</v>
      </c>
      <c r="G328" s="63" t="s">
        <v>38</v>
      </c>
      <c r="H328" s="163">
        <f>LEN(B328)-LEN(SUBSTITUTE(B328,",",""))+1</f>
        <v>1</v>
      </c>
      <c r="I328" s="158" t="s">
        <v>253</v>
      </c>
    </row>
    <row r="329" spans="1:12" s="20" customFormat="1" ht="30" customHeight="1">
      <c r="A329" s="157"/>
      <c r="B329" s="165"/>
      <c r="C329" s="159"/>
      <c r="D329" s="65" t="s">
        <v>1388</v>
      </c>
      <c r="E329" s="14" t="s">
        <v>1389</v>
      </c>
      <c r="F329" s="15" t="s">
        <v>1390</v>
      </c>
      <c r="G329" s="63" t="s">
        <v>91</v>
      </c>
      <c r="H329" s="163"/>
      <c r="I329" s="159"/>
    </row>
    <row r="330" spans="1:12" s="20" customFormat="1" ht="30" customHeight="1">
      <c r="A330" s="157"/>
      <c r="B330" s="166"/>
      <c r="C330" s="160"/>
      <c r="D330" s="65" t="s">
        <v>1392</v>
      </c>
      <c r="E330" s="14" t="s">
        <v>1393</v>
      </c>
      <c r="F330" s="15" t="s">
        <v>1386</v>
      </c>
      <c r="G330" s="63" t="s">
        <v>37</v>
      </c>
      <c r="H330" s="163"/>
      <c r="I330" s="160"/>
    </row>
    <row r="331" spans="1:12" s="20" customFormat="1" ht="30" customHeight="1">
      <c r="A331" s="157">
        <v>124</v>
      </c>
      <c r="B331" s="174" t="s">
        <v>1360</v>
      </c>
      <c r="C331" s="173" t="s">
        <v>1361</v>
      </c>
      <c r="D331" s="9" t="s">
        <v>1761</v>
      </c>
      <c r="E331" s="8" t="s">
        <v>1362</v>
      </c>
      <c r="F331" s="8" t="s">
        <v>1363</v>
      </c>
      <c r="G331" s="9" t="s">
        <v>38</v>
      </c>
      <c r="H331" s="163">
        <f>LEN(B331)-LEN(SUBSTITUTE(B331,",",""))+1</f>
        <v>1</v>
      </c>
      <c r="I331" s="158" t="s">
        <v>253</v>
      </c>
    </row>
    <row r="332" spans="1:12" s="20" customFormat="1" ht="30" customHeight="1">
      <c r="A332" s="157"/>
      <c r="B332" s="174"/>
      <c r="C332" s="173"/>
      <c r="D332" s="9" t="s">
        <v>1364</v>
      </c>
      <c r="E332" s="8" t="s">
        <v>1365</v>
      </c>
      <c r="F332" s="8" t="s">
        <v>1366</v>
      </c>
      <c r="G332" s="9" t="s">
        <v>91</v>
      </c>
      <c r="H332" s="163"/>
      <c r="I332" s="159"/>
      <c r="J332" s="10"/>
      <c r="K332" s="10"/>
      <c r="L332" s="10"/>
    </row>
    <row r="333" spans="1:12" s="20" customFormat="1" ht="30" customHeight="1">
      <c r="A333" s="157"/>
      <c r="B333" s="174"/>
      <c r="C333" s="173"/>
      <c r="D333" s="9" t="s">
        <v>1367</v>
      </c>
      <c r="E333" s="8" t="s">
        <v>1368</v>
      </c>
      <c r="F333" s="8" t="s">
        <v>1366</v>
      </c>
      <c r="G333" s="9" t="s">
        <v>37</v>
      </c>
      <c r="H333" s="163"/>
      <c r="I333" s="160"/>
    </row>
    <row r="334" spans="1:12" ht="30" customHeight="1">
      <c r="A334" s="157">
        <v>125</v>
      </c>
      <c r="B334" s="164" t="s">
        <v>898</v>
      </c>
      <c r="C334" s="158" t="s">
        <v>286</v>
      </c>
      <c r="D334" s="12" t="s">
        <v>371</v>
      </c>
      <c r="E334" s="14" t="s">
        <v>372</v>
      </c>
      <c r="F334" s="15" t="s">
        <v>373</v>
      </c>
      <c r="G334" s="63" t="s">
        <v>283</v>
      </c>
      <c r="H334" s="163">
        <f>LEN(B334)-LEN(SUBSTITUTE(B334,",",""))+1</f>
        <v>1</v>
      </c>
      <c r="I334" s="158" t="s">
        <v>253</v>
      </c>
      <c r="J334" s="20"/>
      <c r="K334" s="20"/>
      <c r="L334" s="20"/>
    </row>
    <row r="335" spans="1:12" s="20" customFormat="1" ht="30" customHeight="1">
      <c r="A335" s="157"/>
      <c r="B335" s="165"/>
      <c r="C335" s="159"/>
      <c r="D335" s="12" t="s">
        <v>374</v>
      </c>
      <c r="E335" s="14" t="s">
        <v>375</v>
      </c>
      <c r="F335" s="15" t="s">
        <v>376</v>
      </c>
      <c r="G335" s="63" t="s">
        <v>91</v>
      </c>
      <c r="H335" s="163"/>
      <c r="I335" s="159"/>
      <c r="J335" s="10"/>
      <c r="K335" s="10"/>
      <c r="L335" s="10"/>
    </row>
    <row r="336" spans="1:12" s="20" customFormat="1" ht="30" customHeight="1">
      <c r="A336" s="157"/>
      <c r="B336" s="166"/>
      <c r="C336" s="160"/>
      <c r="D336" s="12" t="s">
        <v>66</v>
      </c>
      <c r="E336" s="14" t="s">
        <v>732</v>
      </c>
      <c r="F336" s="15" t="s">
        <v>67</v>
      </c>
      <c r="G336" s="63" t="s">
        <v>37</v>
      </c>
      <c r="H336" s="163"/>
      <c r="I336" s="160"/>
      <c r="J336" s="10"/>
      <c r="K336" s="10"/>
      <c r="L336" s="10"/>
    </row>
    <row r="337" spans="1:12" s="20" customFormat="1" ht="30" customHeight="1">
      <c r="A337" s="157">
        <v>126</v>
      </c>
      <c r="B337" s="174" t="s">
        <v>897</v>
      </c>
      <c r="C337" s="169" t="s">
        <v>572</v>
      </c>
      <c r="D337" s="9" t="s">
        <v>973</v>
      </c>
      <c r="E337" s="8" t="s">
        <v>974</v>
      </c>
      <c r="F337" s="8" t="s">
        <v>975</v>
      </c>
      <c r="G337" s="9" t="s">
        <v>38</v>
      </c>
      <c r="H337" s="163">
        <f>LEN(B337)-LEN(SUBSTITUTE(B337,",",""))+1</f>
        <v>2</v>
      </c>
      <c r="I337" s="172" t="s">
        <v>540</v>
      </c>
      <c r="J337" s="10"/>
      <c r="K337" s="10"/>
      <c r="L337" s="10"/>
    </row>
    <row r="338" spans="1:12" s="20" customFormat="1" ht="30" customHeight="1">
      <c r="A338" s="157"/>
      <c r="B338" s="174"/>
      <c r="C338" s="169"/>
      <c r="D338" s="9" t="s">
        <v>976</v>
      </c>
      <c r="E338" s="8" t="s">
        <v>977</v>
      </c>
      <c r="F338" s="8" t="s">
        <v>978</v>
      </c>
      <c r="G338" s="9" t="s">
        <v>91</v>
      </c>
      <c r="H338" s="163"/>
      <c r="I338" s="172"/>
      <c r="J338" s="10"/>
      <c r="K338" s="10"/>
      <c r="L338" s="10"/>
    </row>
    <row r="339" spans="1:12" s="20" customFormat="1" ht="30" customHeight="1">
      <c r="A339" s="157"/>
      <c r="B339" s="174"/>
      <c r="C339" s="169"/>
      <c r="D339" s="9" t="s">
        <v>1274</v>
      </c>
      <c r="E339" s="8" t="s">
        <v>1275</v>
      </c>
      <c r="F339" s="8" t="s">
        <v>978</v>
      </c>
      <c r="G339" s="9" t="s">
        <v>37</v>
      </c>
      <c r="H339" s="163"/>
      <c r="I339" s="172"/>
      <c r="J339" s="10"/>
      <c r="K339" s="10"/>
      <c r="L339" s="10"/>
    </row>
    <row r="340" spans="1:12" ht="30" customHeight="1">
      <c r="A340" s="157">
        <v>127</v>
      </c>
      <c r="B340" s="164" t="s">
        <v>1762</v>
      </c>
      <c r="C340" s="158" t="s">
        <v>286</v>
      </c>
      <c r="D340" s="12" t="s">
        <v>1798</v>
      </c>
      <c r="E340" s="14" t="s">
        <v>377</v>
      </c>
      <c r="F340" s="15" t="s">
        <v>378</v>
      </c>
      <c r="G340" s="63" t="s">
        <v>283</v>
      </c>
      <c r="H340" s="163">
        <f>LEN(B340)-LEN(SUBSTITUTE(B340,",",""))+1</f>
        <v>4</v>
      </c>
      <c r="I340" s="158" t="s">
        <v>253</v>
      </c>
      <c r="J340" s="161"/>
      <c r="K340" s="162"/>
    </row>
    <row r="341" spans="1:12" s="20" customFormat="1" ht="30" customHeight="1">
      <c r="A341" s="157"/>
      <c r="B341" s="165"/>
      <c r="C341" s="159"/>
      <c r="D341" s="12" t="s">
        <v>105</v>
      </c>
      <c r="E341" s="14" t="s">
        <v>106</v>
      </c>
      <c r="F341" s="15" t="s">
        <v>107</v>
      </c>
      <c r="G341" s="63" t="s">
        <v>91</v>
      </c>
      <c r="H341" s="163"/>
      <c r="I341" s="159"/>
      <c r="J341" s="161"/>
      <c r="K341" s="162"/>
      <c r="L341" s="10"/>
    </row>
    <row r="342" spans="1:12" s="20" customFormat="1" ht="30" customHeight="1">
      <c r="A342" s="157"/>
      <c r="B342" s="166"/>
      <c r="C342" s="160"/>
      <c r="D342" s="65" t="s">
        <v>101</v>
      </c>
      <c r="E342" s="14" t="s">
        <v>102</v>
      </c>
      <c r="F342" s="15" t="s">
        <v>378</v>
      </c>
      <c r="G342" s="63" t="s">
        <v>37</v>
      </c>
      <c r="H342" s="163"/>
      <c r="I342" s="160"/>
      <c r="J342" s="161"/>
      <c r="K342" s="162"/>
      <c r="L342" s="10"/>
    </row>
    <row r="343" spans="1:12" ht="30" customHeight="1">
      <c r="A343" s="157">
        <v>128</v>
      </c>
      <c r="B343" s="164" t="s">
        <v>1436</v>
      </c>
      <c r="C343" s="158" t="s">
        <v>286</v>
      </c>
      <c r="D343" s="65" t="s">
        <v>1763</v>
      </c>
      <c r="E343" s="14" t="s">
        <v>379</v>
      </c>
      <c r="F343" s="15" t="s">
        <v>380</v>
      </c>
      <c r="G343" s="63" t="s">
        <v>283</v>
      </c>
      <c r="H343" s="163">
        <f t="shared" ref="H343:H349" si="3">LEN(B343)-LEN(SUBSTITUTE(B343,",",""))+1</f>
        <v>2</v>
      </c>
      <c r="I343" s="158" t="s">
        <v>253</v>
      </c>
    </row>
    <row r="344" spans="1:12" ht="30" customHeight="1">
      <c r="A344" s="157"/>
      <c r="B344" s="165"/>
      <c r="C344" s="159"/>
      <c r="D344" s="65" t="s">
        <v>97</v>
      </c>
      <c r="E344" s="14" t="s">
        <v>98</v>
      </c>
      <c r="F344" s="15" t="s">
        <v>93</v>
      </c>
      <c r="G344" s="63" t="s">
        <v>91</v>
      </c>
      <c r="H344" s="163"/>
      <c r="I344" s="159"/>
    </row>
    <row r="345" spans="1:12" ht="30" customHeight="1">
      <c r="A345" s="157"/>
      <c r="B345" s="166"/>
      <c r="C345" s="160"/>
      <c r="D345" s="65" t="s">
        <v>92</v>
      </c>
      <c r="E345" s="14" t="s">
        <v>381</v>
      </c>
      <c r="F345" s="15" t="s">
        <v>93</v>
      </c>
      <c r="G345" s="63" t="s">
        <v>37</v>
      </c>
      <c r="H345" s="163"/>
      <c r="I345" s="160"/>
    </row>
    <row r="346" spans="1:12" ht="30" customHeight="1">
      <c r="A346" s="157">
        <v>129</v>
      </c>
      <c r="B346" s="164" t="s">
        <v>1867</v>
      </c>
      <c r="C346" s="158" t="s">
        <v>286</v>
      </c>
      <c r="D346" s="65" t="s">
        <v>1636</v>
      </c>
      <c r="E346" s="14" t="s">
        <v>382</v>
      </c>
      <c r="F346" s="15" t="s">
        <v>383</v>
      </c>
      <c r="G346" s="63" t="s">
        <v>283</v>
      </c>
      <c r="H346" s="163">
        <f t="shared" si="3"/>
        <v>4</v>
      </c>
      <c r="I346" s="158" t="s">
        <v>253</v>
      </c>
      <c r="J346" s="161"/>
      <c r="K346" s="162"/>
    </row>
    <row r="347" spans="1:12" ht="30" customHeight="1">
      <c r="A347" s="157"/>
      <c r="B347" s="165"/>
      <c r="C347" s="159"/>
      <c r="D347" s="65" t="s">
        <v>99</v>
      </c>
      <c r="E347" s="14" t="s">
        <v>100</v>
      </c>
      <c r="F347" s="15" t="s">
        <v>96</v>
      </c>
      <c r="G347" s="63" t="s">
        <v>91</v>
      </c>
      <c r="H347" s="163"/>
      <c r="I347" s="159"/>
      <c r="J347" s="161"/>
      <c r="K347" s="162"/>
    </row>
    <row r="348" spans="1:12" ht="30" customHeight="1">
      <c r="A348" s="157"/>
      <c r="B348" s="166"/>
      <c r="C348" s="160"/>
      <c r="D348" s="65" t="s">
        <v>95</v>
      </c>
      <c r="E348" s="14" t="s">
        <v>94</v>
      </c>
      <c r="F348" s="15" t="s">
        <v>96</v>
      </c>
      <c r="G348" s="63" t="s">
        <v>37</v>
      </c>
      <c r="H348" s="163"/>
      <c r="I348" s="160"/>
      <c r="J348" s="161"/>
      <c r="K348" s="162"/>
    </row>
    <row r="349" spans="1:12" ht="30" customHeight="1">
      <c r="A349" s="157">
        <v>130</v>
      </c>
      <c r="B349" s="164" t="s">
        <v>1458</v>
      </c>
      <c r="C349" s="158" t="s">
        <v>286</v>
      </c>
      <c r="D349" s="65" t="s">
        <v>1057</v>
      </c>
      <c r="E349" s="14" t="s">
        <v>384</v>
      </c>
      <c r="F349" s="15" t="s">
        <v>385</v>
      </c>
      <c r="G349" s="63" t="s">
        <v>283</v>
      </c>
      <c r="H349" s="163">
        <f t="shared" si="3"/>
        <v>2</v>
      </c>
      <c r="I349" s="158" t="s">
        <v>253</v>
      </c>
    </row>
    <row r="350" spans="1:12" ht="30" customHeight="1">
      <c r="A350" s="157"/>
      <c r="B350" s="165"/>
      <c r="C350" s="159"/>
      <c r="D350" s="9" t="s">
        <v>1059</v>
      </c>
      <c r="E350" s="8" t="s">
        <v>1058</v>
      </c>
      <c r="F350" s="8" t="s">
        <v>75</v>
      </c>
      <c r="G350" s="9" t="s">
        <v>91</v>
      </c>
      <c r="H350" s="163"/>
      <c r="I350" s="159"/>
    </row>
    <row r="351" spans="1:12" ht="30" customHeight="1">
      <c r="A351" s="157"/>
      <c r="B351" s="166"/>
      <c r="C351" s="160"/>
      <c r="D351" s="65" t="s">
        <v>73</v>
      </c>
      <c r="E351" s="14" t="s">
        <v>74</v>
      </c>
      <c r="F351" s="15" t="s">
        <v>75</v>
      </c>
      <c r="G351" s="63" t="s">
        <v>37</v>
      </c>
      <c r="H351" s="163"/>
      <c r="I351" s="160"/>
    </row>
    <row r="352" spans="1:12" ht="30" customHeight="1">
      <c r="A352" s="157">
        <v>131</v>
      </c>
      <c r="B352" s="164" t="s">
        <v>1531</v>
      </c>
      <c r="C352" s="158" t="s">
        <v>286</v>
      </c>
      <c r="D352" s="65" t="s">
        <v>1764</v>
      </c>
      <c r="E352" s="14" t="s">
        <v>1510</v>
      </c>
      <c r="F352" s="15" t="s">
        <v>1501</v>
      </c>
      <c r="G352" s="63" t="s">
        <v>283</v>
      </c>
      <c r="H352" s="163">
        <f>LEN(B352)-LEN(SUBSTITUTE(B352,",",""))+1</f>
        <v>2</v>
      </c>
      <c r="I352" s="158" t="s">
        <v>253</v>
      </c>
    </row>
    <row r="353" spans="1:11" ht="30" customHeight="1">
      <c r="A353" s="157"/>
      <c r="B353" s="165"/>
      <c r="C353" s="159"/>
      <c r="D353" s="65" t="s">
        <v>386</v>
      </c>
      <c r="E353" s="14" t="s">
        <v>1506</v>
      </c>
      <c r="F353" s="15" t="s">
        <v>387</v>
      </c>
      <c r="G353" s="63" t="s">
        <v>91</v>
      </c>
      <c r="H353" s="163"/>
      <c r="I353" s="159"/>
    </row>
    <row r="354" spans="1:11" ht="30" customHeight="1">
      <c r="A354" s="157"/>
      <c r="B354" s="166"/>
      <c r="C354" s="160"/>
      <c r="D354" s="65" t="s">
        <v>125</v>
      </c>
      <c r="E354" s="14" t="s">
        <v>597</v>
      </c>
      <c r="F354" s="15" t="s">
        <v>126</v>
      </c>
      <c r="G354" s="63" t="s">
        <v>37</v>
      </c>
      <c r="H354" s="163"/>
      <c r="I354" s="160"/>
    </row>
    <row r="355" spans="1:11" ht="30" customHeight="1">
      <c r="A355" s="157">
        <v>132</v>
      </c>
      <c r="B355" s="164" t="s">
        <v>1532</v>
      </c>
      <c r="C355" s="158" t="s">
        <v>286</v>
      </c>
      <c r="D355" s="65" t="s">
        <v>1765</v>
      </c>
      <c r="E355" s="14" t="s">
        <v>1535</v>
      </c>
      <c r="F355" s="15" t="s">
        <v>1534</v>
      </c>
      <c r="G355" s="63" t="s">
        <v>283</v>
      </c>
      <c r="H355" s="163">
        <f>LEN(B355)-LEN(SUBSTITUTE(B355,",",""))+1</f>
        <v>1</v>
      </c>
      <c r="I355" s="158" t="s">
        <v>253</v>
      </c>
    </row>
    <row r="356" spans="1:11" ht="30" customHeight="1">
      <c r="A356" s="157"/>
      <c r="B356" s="165"/>
      <c r="C356" s="159"/>
      <c r="D356" s="65" t="s">
        <v>1537</v>
      </c>
      <c r="E356" s="14" t="s">
        <v>1536</v>
      </c>
      <c r="F356" s="15" t="s">
        <v>1533</v>
      </c>
      <c r="G356" s="63" t="s">
        <v>91</v>
      </c>
      <c r="H356" s="163"/>
      <c r="I356" s="159"/>
    </row>
    <row r="357" spans="1:11" ht="30" customHeight="1">
      <c r="A357" s="157"/>
      <c r="B357" s="166"/>
      <c r="C357" s="160"/>
      <c r="D357" s="65" t="s">
        <v>1540</v>
      </c>
      <c r="E357" s="14" t="s">
        <v>1539</v>
      </c>
      <c r="F357" s="15" t="s">
        <v>1538</v>
      </c>
      <c r="G357" s="63" t="s">
        <v>37</v>
      </c>
      <c r="H357" s="163"/>
      <c r="I357" s="160"/>
    </row>
    <row r="358" spans="1:11" ht="30" customHeight="1">
      <c r="A358" s="157">
        <v>133</v>
      </c>
      <c r="B358" s="164" t="s">
        <v>1500</v>
      </c>
      <c r="C358" s="158" t="s">
        <v>286</v>
      </c>
      <c r="D358" s="72" t="s">
        <v>1766</v>
      </c>
      <c r="E358" s="61" t="s">
        <v>1511</v>
      </c>
      <c r="F358" s="61" t="s">
        <v>1512</v>
      </c>
      <c r="G358" s="62" t="s">
        <v>1513</v>
      </c>
      <c r="H358" s="163">
        <f>LEN(B358)-LEN(SUBSTITUTE(B358,",",""))+1</f>
        <v>1</v>
      </c>
      <c r="I358" s="158" t="s">
        <v>253</v>
      </c>
    </row>
    <row r="359" spans="1:11" ht="30" customHeight="1">
      <c r="A359" s="157"/>
      <c r="B359" s="165"/>
      <c r="C359" s="159"/>
      <c r="D359" s="65" t="s">
        <v>1507</v>
      </c>
      <c r="E359" s="14" t="s">
        <v>1508</v>
      </c>
      <c r="F359" s="15" t="s">
        <v>1509</v>
      </c>
      <c r="G359" s="63" t="s">
        <v>91</v>
      </c>
      <c r="H359" s="163"/>
      <c r="I359" s="159"/>
    </row>
    <row r="360" spans="1:11" ht="30" customHeight="1">
      <c r="A360" s="157"/>
      <c r="B360" s="166"/>
      <c r="C360" s="160"/>
      <c r="D360" s="65" t="s">
        <v>1503</v>
      </c>
      <c r="E360" s="14" t="s">
        <v>1504</v>
      </c>
      <c r="F360" s="15" t="s">
        <v>1505</v>
      </c>
      <c r="G360" s="63" t="s">
        <v>37</v>
      </c>
      <c r="H360" s="163"/>
      <c r="I360" s="160"/>
    </row>
    <row r="361" spans="1:11" ht="30" customHeight="1">
      <c r="A361" s="157">
        <v>134</v>
      </c>
      <c r="B361" s="164" t="s">
        <v>1604</v>
      </c>
      <c r="C361" s="158" t="s">
        <v>822</v>
      </c>
      <c r="D361" s="62" t="s">
        <v>1767</v>
      </c>
      <c r="E361" s="4" t="s">
        <v>31</v>
      </c>
      <c r="F361" s="59" t="s">
        <v>32</v>
      </c>
      <c r="G361" s="63" t="s">
        <v>823</v>
      </c>
      <c r="H361" s="163">
        <f>LEN(B361)-LEN(SUBSTITUTE(B361,",",""))+1</f>
        <v>4</v>
      </c>
      <c r="I361" s="158" t="s">
        <v>815</v>
      </c>
      <c r="J361" s="161"/>
      <c r="K361" s="162"/>
    </row>
    <row r="362" spans="1:11" ht="30" customHeight="1">
      <c r="A362" s="157"/>
      <c r="B362" s="165"/>
      <c r="C362" s="159"/>
      <c r="D362" s="62" t="s">
        <v>388</v>
      </c>
      <c r="E362" s="4" t="s">
        <v>767</v>
      </c>
      <c r="F362" s="59" t="s">
        <v>389</v>
      </c>
      <c r="G362" s="63" t="s">
        <v>91</v>
      </c>
      <c r="H362" s="163"/>
      <c r="I362" s="159"/>
      <c r="J362" s="161"/>
      <c r="K362" s="162"/>
    </row>
    <row r="363" spans="1:11" ht="30" customHeight="1">
      <c r="A363" s="157"/>
      <c r="B363" s="166"/>
      <c r="C363" s="160"/>
      <c r="D363" s="62" t="s">
        <v>69</v>
      </c>
      <c r="E363" s="4" t="s">
        <v>1502</v>
      </c>
      <c r="F363" s="59" t="s">
        <v>68</v>
      </c>
      <c r="G363" s="63" t="s">
        <v>37</v>
      </c>
      <c r="H363" s="163"/>
      <c r="I363" s="160"/>
      <c r="J363" s="161"/>
      <c r="K363" s="162"/>
    </row>
    <row r="364" spans="1:11" ht="30" customHeight="1">
      <c r="A364" s="157">
        <v>135</v>
      </c>
      <c r="B364" s="164" t="s">
        <v>643</v>
      </c>
      <c r="C364" s="158" t="s">
        <v>286</v>
      </c>
      <c r="D364" s="62" t="s">
        <v>1768</v>
      </c>
      <c r="E364" s="4" t="s">
        <v>33</v>
      </c>
      <c r="F364" s="59" t="s">
        <v>34</v>
      </c>
      <c r="G364" s="63" t="s">
        <v>283</v>
      </c>
      <c r="H364" s="163">
        <f>LEN(B364)-LEN(SUBSTITUTE(B364,",",""))+1</f>
        <v>2</v>
      </c>
      <c r="I364" s="158" t="s">
        <v>253</v>
      </c>
    </row>
    <row r="365" spans="1:11" ht="30" customHeight="1">
      <c r="A365" s="157"/>
      <c r="B365" s="165"/>
      <c r="C365" s="159"/>
      <c r="D365" s="62" t="s">
        <v>390</v>
      </c>
      <c r="E365" s="4" t="s">
        <v>766</v>
      </c>
      <c r="F365" s="59" t="s">
        <v>391</v>
      </c>
      <c r="G365" s="63" t="s">
        <v>91</v>
      </c>
      <c r="H365" s="163"/>
      <c r="I365" s="159"/>
    </row>
    <row r="366" spans="1:11" ht="30" customHeight="1">
      <c r="A366" s="157"/>
      <c r="B366" s="166"/>
      <c r="C366" s="160"/>
      <c r="D366" s="62" t="s">
        <v>70</v>
      </c>
      <c r="E366" s="4" t="s">
        <v>71</v>
      </c>
      <c r="F366" s="59" t="s">
        <v>72</v>
      </c>
      <c r="G366" s="63" t="s">
        <v>37</v>
      </c>
      <c r="H366" s="163"/>
      <c r="I366" s="160"/>
    </row>
    <row r="367" spans="1:11" ht="30" customHeight="1">
      <c r="A367" s="157">
        <v>136</v>
      </c>
      <c r="B367" s="164" t="s">
        <v>1460</v>
      </c>
      <c r="C367" s="158" t="s">
        <v>286</v>
      </c>
      <c r="D367" s="62" t="s">
        <v>1769</v>
      </c>
      <c r="E367" s="4" t="s">
        <v>29</v>
      </c>
      <c r="F367" s="59" t="s">
        <v>30</v>
      </c>
      <c r="G367" s="63" t="s">
        <v>283</v>
      </c>
      <c r="H367" s="163">
        <f>LEN(B367)-LEN(SUBSTITUTE(B367,",",""))+1</f>
        <v>2</v>
      </c>
      <c r="I367" s="158" t="s">
        <v>253</v>
      </c>
    </row>
    <row r="368" spans="1:11" ht="30" customHeight="1">
      <c r="A368" s="157"/>
      <c r="B368" s="165"/>
      <c r="C368" s="159"/>
      <c r="D368" s="62" t="s">
        <v>392</v>
      </c>
      <c r="E368" s="4" t="s">
        <v>393</v>
      </c>
      <c r="F368" s="59" t="s">
        <v>394</v>
      </c>
      <c r="G368" s="63" t="s">
        <v>91</v>
      </c>
      <c r="H368" s="163"/>
      <c r="I368" s="159"/>
    </row>
    <row r="369" spans="1:9" ht="30" customHeight="1">
      <c r="A369" s="157"/>
      <c r="B369" s="166"/>
      <c r="C369" s="160"/>
      <c r="D369" s="65" t="s">
        <v>127</v>
      </c>
      <c r="E369" s="14" t="s">
        <v>128</v>
      </c>
      <c r="F369" s="15" t="s">
        <v>129</v>
      </c>
      <c r="G369" s="63" t="s">
        <v>37</v>
      </c>
      <c r="H369" s="163"/>
      <c r="I369" s="160"/>
    </row>
    <row r="370" spans="1:9" ht="30" customHeight="1">
      <c r="A370" s="157">
        <v>137</v>
      </c>
      <c r="B370" s="164" t="s">
        <v>953</v>
      </c>
      <c r="C370" s="158" t="s">
        <v>670</v>
      </c>
      <c r="D370" s="35" t="s">
        <v>1770</v>
      </c>
      <c r="E370" s="34" t="s">
        <v>868</v>
      </c>
      <c r="F370" s="34" t="s">
        <v>869</v>
      </c>
      <c r="G370" s="35" t="s">
        <v>38</v>
      </c>
      <c r="H370" s="163">
        <f>LEN(B370)-LEN(SUBSTITUTE(B370,",",""))+1</f>
        <v>2</v>
      </c>
      <c r="I370" s="158" t="s">
        <v>253</v>
      </c>
    </row>
    <row r="371" spans="1:9" ht="30" customHeight="1">
      <c r="A371" s="157"/>
      <c r="B371" s="165"/>
      <c r="C371" s="159"/>
      <c r="D371" s="37" t="s">
        <v>870</v>
      </c>
      <c r="E371" s="41" t="s">
        <v>871</v>
      </c>
      <c r="F371" s="41" t="s">
        <v>872</v>
      </c>
      <c r="G371" s="37" t="s">
        <v>91</v>
      </c>
      <c r="H371" s="163"/>
      <c r="I371" s="159"/>
    </row>
    <row r="372" spans="1:9" ht="30" customHeight="1">
      <c r="A372" s="157"/>
      <c r="B372" s="166"/>
      <c r="C372" s="160"/>
      <c r="D372" s="37" t="s">
        <v>873</v>
      </c>
      <c r="E372" s="41" t="s">
        <v>874</v>
      </c>
      <c r="F372" s="41" t="s">
        <v>872</v>
      </c>
      <c r="G372" s="37" t="s">
        <v>37</v>
      </c>
      <c r="H372" s="163"/>
      <c r="I372" s="160"/>
    </row>
    <row r="373" spans="1:9" ht="30" customHeight="1">
      <c r="A373" s="157">
        <v>138</v>
      </c>
      <c r="B373" s="164" t="s">
        <v>1459</v>
      </c>
      <c r="C373" s="158" t="s">
        <v>286</v>
      </c>
      <c r="D373" s="65" t="s">
        <v>1771</v>
      </c>
      <c r="E373" s="14" t="s">
        <v>578</v>
      </c>
      <c r="F373" s="15" t="s">
        <v>579</v>
      </c>
      <c r="G373" s="63" t="s">
        <v>38</v>
      </c>
      <c r="H373" s="163">
        <f>LEN(B373)-LEN(SUBSTITUTE(B373,",",""))+1</f>
        <v>2</v>
      </c>
      <c r="I373" s="158" t="s">
        <v>253</v>
      </c>
    </row>
    <row r="374" spans="1:9" ht="30" customHeight="1">
      <c r="A374" s="157"/>
      <c r="B374" s="165"/>
      <c r="C374" s="159"/>
      <c r="D374" s="65" t="s">
        <v>580</v>
      </c>
      <c r="E374" s="14" t="s">
        <v>581</v>
      </c>
      <c r="F374" s="15" t="s">
        <v>582</v>
      </c>
      <c r="G374" s="63" t="s">
        <v>91</v>
      </c>
      <c r="H374" s="163"/>
      <c r="I374" s="159"/>
    </row>
    <row r="375" spans="1:9" ht="30" customHeight="1">
      <c r="A375" s="157"/>
      <c r="B375" s="166"/>
      <c r="C375" s="160"/>
      <c r="D375" s="65" t="s">
        <v>583</v>
      </c>
      <c r="E375" s="14" t="s">
        <v>584</v>
      </c>
      <c r="F375" s="15" t="s">
        <v>579</v>
      </c>
      <c r="G375" s="63" t="s">
        <v>37</v>
      </c>
      <c r="H375" s="163"/>
      <c r="I375" s="160"/>
    </row>
    <row r="376" spans="1:9" ht="30" customHeight="1">
      <c r="A376" s="157">
        <v>139</v>
      </c>
      <c r="B376" s="164" t="s">
        <v>587</v>
      </c>
      <c r="C376" s="158" t="s">
        <v>286</v>
      </c>
      <c r="D376" s="62" t="s">
        <v>1772</v>
      </c>
      <c r="E376" s="4" t="s">
        <v>395</v>
      </c>
      <c r="F376" s="59" t="s">
        <v>164</v>
      </c>
      <c r="G376" s="63" t="s">
        <v>283</v>
      </c>
      <c r="H376" s="163">
        <f>LEN(B376)-LEN(SUBSTITUTE(B376,",",""))+1</f>
        <v>1</v>
      </c>
      <c r="I376" s="158" t="s">
        <v>253</v>
      </c>
    </row>
    <row r="377" spans="1:9" ht="30" customHeight="1">
      <c r="A377" s="157"/>
      <c r="B377" s="165"/>
      <c r="C377" s="159"/>
      <c r="D377" s="62" t="s">
        <v>396</v>
      </c>
      <c r="E377" s="4" t="s">
        <v>397</v>
      </c>
      <c r="F377" s="59" t="s">
        <v>398</v>
      </c>
      <c r="G377" s="63" t="s">
        <v>91</v>
      </c>
      <c r="H377" s="163"/>
      <c r="I377" s="159"/>
    </row>
    <row r="378" spans="1:9" ht="30" customHeight="1">
      <c r="A378" s="157"/>
      <c r="B378" s="166"/>
      <c r="C378" s="160"/>
      <c r="D378" s="65" t="s">
        <v>399</v>
      </c>
      <c r="E378" s="14" t="s">
        <v>400</v>
      </c>
      <c r="F378" s="15" t="s">
        <v>401</v>
      </c>
      <c r="G378" s="63" t="s">
        <v>37</v>
      </c>
      <c r="H378" s="163"/>
      <c r="I378" s="160"/>
    </row>
    <row r="379" spans="1:9" ht="30" customHeight="1">
      <c r="A379" s="157">
        <v>140</v>
      </c>
      <c r="B379" s="164" t="s">
        <v>1541</v>
      </c>
      <c r="C379" s="158" t="s">
        <v>670</v>
      </c>
      <c r="D379" s="62" t="s">
        <v>1773</v>
      </c>
      <c r="E379" s="4" t="s">
        <v>603</v>
      </c>
      <c r="F379" s="59" t="s">
        <v>601</v>
      </c>
      <c r="G379" s="63" t="s">
        <v>311</v>
      </c>
      <c r="H379" s="163">
        <f>LEN(B379)-LEN(SUBSTITUTE(B379,",",""))+1</f>
        <v>1</v>
      </c>
      <c r="I379" s="158" t="s">
        <v>253</v>
      </c>
    </row>
    <row r="380" spans="1:9" ht="30" customHeight="1">
      <c r="A380" s="157"/>
      <c r="B380" s="165"/>
      <c r="C380" s="159"/>
      <c r="D380" s="62" t="s">
        <v>604</v>
      </c>
      <c r="E380" s="4" t="s">
        <v>757</v>
      </c>
      <c r="F380" s="59" t="s">
        <v>605</v>
      </c>
      <c r="G380" s="63" t="s">
        <v>91</v>
      </c>
      <c r="H380" s="163"/>
      <c r="I380" s="159"/>
    </row>
    <row r="381" spans="1:9" ht="30" customHeight="1">
      <c r="A381" s="157"/>
      <c r="B381" s="166"/>
      <c r="C381" s="160"/>
      <c r="D381" s="65" t="s">
        <v>602</v>
      </c>
      <c r="E381" s="14" t="s">
        <v>622</v>
      </c>
      <c r="F381" s="15" t="s">
        <v>606</v>
      </c>
      <c r="G381" s="63" t="s">
        <v>37</v>
      </c>
      <c r="H381" s="163"/>
      <c r="I381" s="160"/>
    </row>
    <row r="382" spans="1:9" ht="30" customHeight="1">
      <c r="A382" s="157">
        <v>141</v>
      </c>
      <c r="B382" s="164" t="s">
        <v>1486</v>
      </c>
      <c r="C382" s="158" t="s">
        <v>286</v>
      </c>
      <c r="D382" s="62" t="s">
        <v>836</v>
      </c>
      <c r="E382" s="4" t="s">
        <v>837</v>
      </c>
      <c r="F382" s="59" t="s">
        <v>621</v>
      </c>
      <c r="G382" s="63" t="s">
        <v>838</v>
      </c>
      <c r="H382" s="163">
        <f>LEN(B382)-LEN(SUBSTITUTE(B382,",",""))+1</f>
        <v>1</v>
      </c>
      <c r="I382" s="158" t="s">
        <v>839</v>
      </c>
    </row>
    <row r="383" spans="1:9" ht="30" customHeight="1">
      <c r="A383" s="157"/>
      <c r="B383" s="165"/>
      <c r="C383" s="159"/>
      <c r="D383" s="62" t="s">
        <v>840</v>
      </c>
      <c r="E383" s="4" t="s">
        <v>841</v>
      </c>
      <c r="F383" s="59" t="s">
        <v>842</v>
      </c>
      <c r="G383" s="63" t="s">
        <v>91</v>
      </c>
      <c r="H383" s="163"/>
      <c r="I383" s="159"/>
    </row>
    <row r="384" spans="1:9" ht="30" customHeight="1">
      <c r="A384" s="157"/>
      <c r="B384" s="166"/>
      <c r="C384" s="160"/>
      <c r="D384" s="65" t="s">
        <v>623</v>
      </c>
      <c r="E384" s="14" t="s">
        <v>843</v>
      </c>
      <c r="F384" s="15" t="s">
        <v>844</v>
      </c>
      <c r="G384" s="63" t="s">
        <v>845</v>
      </c>
      <c r="H384" s="163"/>
      <c r="I384" s="160"/>
    </row>
    <row r="385" spans="1:12" ht="30" customHeight="1">
      <c r="A385" s="157">
        <v>142</v>
      </c>
      <c r="B385" s="164" t="s">
        <v>1369</v>
      </c>
      <c r="C385" s="158" t="s">
        <v>286</v>
      </c>
      <c r="D385" s="12" t="s">
        <v>1774</v>
      </c>
      <c r="E385" s="7" t="s">
        <v>1370</v>
      </c>
      <c r="F385" s="7" t="s">
        <v>482</v>
      </c>
      <c r="G385" s="63" t="s">
        <v>283</v>
      </c>
      <c r="H385" s="163">
        <f>LEN(B385)-LEN(SUBSTITUTE(B385,",",""))+1</f>
        <v>1</v>
      </c>
      <c r="I385" s="158" t="s">
        <v>257</v>
      </c>
    </row>
    <row r="386" spans="1:12" ht="30" customHeight="1">
      <c r="A386" s="157"/>
      <c r="B386" s="165"/>
      <c r="C386" s="159"/>
      <c r="D386" s="12" t="s">
        <v>1371</v>
      </c>
      <c r="E386" s="7" t="s">
        <v>483</v>
      </c>
      <c r="F386" s="7" t="s">
        <v>1372</v>
      </c>
      <c r="G386" s="63" t="s">
        <v>91</v>
      </c>
      <c r="H386" s="163"/>
      <c r="I386" s="159"/>
    </row>
    <row r="387" spans="1:12" ht="30" customHeight="1">
      <c r="A387" s="157"/>
      <c r="B387" s="166"/>
      <c r="C387" s="160"/>
      <c r="D387" s="65" t="s">
        <v>1373</v>
      </c>
      <c r="E387" s="14" t="s">
        <v>149</v>
      </c>
      <c r="F387" s="15" t="s">
        <v>150</v>
      </c>
      <c r="G387" s="63" t="s">
        <v>37</v>
      </c>
      <c r="H387" s="163"/>
      <c r="I387" s="160"/>
    </row>
    <row r="388" spans="1:12" ht="30" customHeight="1">
      <c r="A388" s="157">
        <v>143</v>
      </c>
      <c r="B388" s="164" t="s">
        <v>1424</v>
      </c>
      <c r="C388" s="158" t="s">
        <v>286</v>
      </c>
      <c r="D388" s="65" t="s">
        <v>1775</v>
      </c>
      <c r="E388" s="14" t="s">
        <v>600</v>
      </c>
      <c r="F388" s="15" t="s">
        <v>402</v>
      </c>
      <c r="G388" s="63" t="s">
        <v>283</v>
      </c>
      <c r="H388" s="163">
        <f>LEN(B388)-LEN(SUBSTITUTE(B388,",",""))+1</f>
        <v>2</v>
      </c>
      <c r="I388" s="158" t="s">
        <v>253</v>
      </c>
    </row>
    <row r="389" spans="1:12" ht="30" customHeight="1">
      <c r="A389" s="157"/>
      <c r="B389" s="165"/>
      <c r="C389" s="159"/>
      <c r="D389" s="65" t="s">
        <v>403</v>
      </c>
      <c r="E389" s="14" t="s">
        <v>404</v>
      </c>
      <c r="F389" s="15" t="s">
        <v>405</v>
      </c>
      <c r="G389" s="63" t="s">
        <v>91</v>
      </c>
      <c r="H389" s="163"/>
      <c r="I389" s="159"/>
    </row>
    <row r="390" spans="1:12" ht="30" customHeight="1">
      <c r="A390" s="157"/>
      <c r="B390" s="166"/>
      <c r="C390" s="160"/>
      <c r="D390" s="65" t="s">
        <v>130</v>
      </c>
      <c r="E390" s="14" t="s">
        <v>131</v>
      </c>
      <c r="F390" s="15" t="s">
        <v>132</v>
      </c>
      <c r="G390" s="63" t="s">
        <v>37</v>
      </c>
      <c r="H390" s="163"/>
      <c r="I390" s="160"/>
    </row>
    <row r="391" spans="1:12" ht="30" customHeight="1">
      <c r="A391" s="157">
        <v>144</v>
      </c>
      <c r="B391" s="164" t="s">
        <v>1627</v>
      </c>
      <c r="C391" s="158" t="s">
        <v>286</v>
      </c>
      <c r="D391" s="65" t="s">
        <v>406</v>
      </c>
      <c r="E391" s="14" t="s">
        <v>654</v>
      </c>
      <c r="F391" s="15" t="s">
        <v>407</v>
      </c>
      <c r="G391" s="63" t="s">
        <v>283</v>
      </c>
      <c r="H391" s="163">
        <f>LEN(B391)-LEN(SUBSTITUTE(B391,",",""))+1</f>
        <v>3</v>
      </c>
      <c r="I391" s="158" t="s">
        <v>253</v>
      </c>
    </row>
    <row r="392" spans="1:12" ht="30" customHeight="1">
      <c r="A392" s="157"/>
      <c r="B392" s="165"/>
      <c r="C392" s="159"/>
      <c r="D392" s="65" t="s">
        <v>408</v>
      </c>
      <c r="E392" s="14" t="s">
        <v>655</v>
      </c>
      <c r="F392" s="15" t="s">
        <v>409</v>
      </c>
      <c r="G392" s="63" t="s">
        <v>91</v>
      </c>
      <c r="H392" s="163"/>
      <c r="I392" s="159"/>
      <c r="J392" s="3"/>
      <c r="K392" s="3"/>
      <c r="L392" s="3"/>
    </row>
    <row r="393" spans="1:12" ht="30" customHeight="1">
      <c r="A393" s="157"/>
      <c r="B393" s="166"/>
      <c r="C393" s="160"/>
      <c r="D393" s="65" t="s">
        <v>103</v>
      </c>
      <c r="E393" s="14" t="s">
        <v>656</v>
      </c>
      <c r="F393" s="15" t="s">
        <v>104</v>
      </c>
      <c r="G393" s="63" t="s">
        <v>37</v>
      </c>
      <c r="H393" s="163"/>
      <c r="I393" s="160"/>
      <c r="J393" s="3"/>
      <c r="K393" s="3"/>
      <c r="L393" s="3"/>
    </row>
    <row r="394" spans="1:12" ht="30" customHeight="1">
      <c r="A394" s="157">
        <v>145</v>
      </c>
      <c r="B394" s="164" t="s">
        <v>1626</v>
      </c>
      <c r="C394" s="158" t="s">
        <v>286</v>
      </c>
      <c r="D394" s="65" t="s">
        <v>1776</v>
      </c>
      <c r="E394" s="14" t="s">
        <v>554</v>
      </c>
      <c r="F394" s="15" t="s">
        <v>410</v>
      </c>
      <c r="G394" s="63" t="s">
        <v>283</v>
      </c>
      <c r="H394" s="163">
        <f>LEN(B394)-LEN(SUBSTITUTE(B394,",",""))+1</f>
        <v>4</v>
      </c>
      <c r="I394" s="158" t="s">
        <v>253</v>
      </c>
      <c r="J394" s="3"/>
      <c r="K394" s="3"/>
      <c r="L394" s="3"/>
    </row>
    <row r="395" spans="1:12" ht="30" customHeight="1">
      <c r="A395" s="157"/>
      <c r="B395" s="165"/>
      <c r="C395" s="159"/>
      <c r="D395" s="65" t="s">
        <v>411</v>
      </c>
      <c r="E395" s="14" t="s">
        <v>412</v>
      </c>
      <c r="F395" s="15" t="s">
        <v>413</v>
      </c>
      <c r="G395" s="63" t="s">
        <v>91</v>
      </c>
      <c r="H395" s="163"/>
      <c r="I395" s="159"/>
      <c r="J395" s="3"/>
      <c r="K395" s="3"/>
      <c r="L395" s="3"/>
    </row>
    <row r="396" spans="1:12" ht="30" customHeight="1">
      <c r="A396" s="157"/>
      <c r="B396" s="166"/>
      <c r="C396" s="160"/>
      <c r="D396" s="65" t="s">
        <v>414</v>
      </c>
      <c r="E396" s="14" t="s">
        <v>415</v>
      </c>
      <c r="F396" s="15" t="s">
        <v>413</v>
      </c>
      <c r="G396" s="63" t="s">
        <v>37</v>
      </c>
      <c r="H396" s="163"/>
      <c r="I396" s="160"/>
      <c r="J396" s="3"/>
      <c r="K396" s="3"/>
      <c r="L396" s="3"/>
    </row>
    <row r="397" spans="1:12" ht="30" customHeight="1">
      <c r="A397" s="157">
        <v>146</v>
      </c>
      <c r="B397" s="164" t="s">
        <v>1629</v>
      </c>
      <c r="C397" s="158" t="s">
        <v>286</v>
      </c>
      <c r="D397" s="65" t="s">
        <v>1777</v>
      </c>
      <c r="E397" s="14" t="s">
        <v>416</v>
      </c>
      <c r="F397" s="15" t="s">
        <v>590</v>
      </c>
      <c r="G397" s="63" t="s">
        <v>283</v>
      </c>
      <c r="H397" s="163">
        <f>LEN(B397)-LEN(SUBSTITUTE(B397,",",""))+1</f>
        <v>5</v>
      </c>
      <c r="I397" s="158" t="s">
        <v>660</v>
      </c>
      <c r="J397" s="3"/>
      <c r="K397" s="3"/>
      <c r="L397" s="3"/>
    </row>
    <row r="398" spans="1:12" ht="30" customHeight="1">
      <c r="A398" s="157"/>
      <c r="B398" s="165"/>
      <c r="C398" s="159"/>
      <c r="D398" s="65" t="s">
        <v>417</v>
      </c>
      <c r="E398" s="14" t="s">
        <v>846</v>
      </c>
      <c r="F398" s="15" t="s">
        <v>418</v>
      </c>
      <c r="G398" s="63" t="s">
        <v>91</v>
      </c>
      <c r="H398" s="163"/>
      <c r="I398" s="159"/>
      <c r="J398" s="3"/>
      <c r="K398" s="3"/>
      <c r="L398" s="3"/>
    </row>
    <row r="399" spans="1:12" ht="30" customHeight="1">
      <c r="A399" s="157"/>
      <c r="B399" s="166"/>
      <c r="C399" s="160"/>
      <c r="D399" s="65" t="s">
        <v>847</v>
      </c>
      <c r="E399" s="14" t="s">
        <v>848</v>
      </c>
      <c r="F399" s="15" t="s">
        <v>418</v>
      </c>
      <c r="G399" s="63" t="s">
        <v>37</v>
      </c>
      <c r="H399" s="163"/>
      <c r="I399" s="160"/>
      <c r="J399" s="3"/>
      <c r="K399" s="3"/>
      <c r="L399" s="3"/>
    </row>
    <row r="400" spans="1:12" s="3" customFormat="1" ht="30" customHeight="1">
      <c r="A400" s="157">
        <v>147</v>
      </c>
      <c r="B400" s="164" t="s">
        <v>1628</v>
      </c>
      <c r="C400" s="158" t="s">
        <v>286</v>
      </c>
      <c r="D400" s="65" t="s">
        <v>1778</v>
      </c>
      <c r="E400" s="14" t="s">
        <v>591</v>
      </c>
      <c r="F400" s="15" t="s">
        <v>1544</v>
      </c>
      <c r="G400" s="63" t="s">
        <v>1543</v>
      </c>
      <c r="H400" s="163">
        <f>LEN(B400)-LEN(SUBSTITUTE(B400,",",""))+1</f>
        <v>4</v>
      </c>
      <c r="I400" s="158" t="s">
        <v>253</v>
      </c>
    </row>
    <row r="401" spans="1:12" s="3" customFormat="1" ht="30" customHeight="1">
      <c r="A401" s="157"/>
      <c r="B401" s="165"/>
      <c r="C401" s="159"/>
      <c r="D401" s="65" t="s">
        <v>592</v>
      </c>
      <c r="E401" s="14" t="s">
        <v>593</v>
      </c>
      <c r="F401" s="15" t="s">
        <v>1547</v>
      </c>
      <c r="G401" s="63" t="s">
        <v>91</v>
      </c>
      <c r="H401" s="163"/>
      <c r="I401" s="159"/>
    </row>
    <row r="402" spans="1:12" s="3" customFormat="1" ht="30" customHeight="1">
      <c r="A402" s="157"/>
      <c r="B402" s="166"/>
      <c r="C402" s="160"/>
      <c r="D402" s="65" t="s">
        <v>595</v>
      </c>
      <c r="E402" s="14" t="s">
        <v>596</v>
      </c>
      <c r="F402" s="15" t="s">
        <v>594</v>
      </c>
      <c r="G402" s="63" t="s">
        <v>37</v>
      </c>
      <c r="H402" s="163"/>
      <c r="I402" s="160"/>
    </row>
    <row r="403" spans="1:12" s="3" customFormat="1" ht="30" customHeight="1">
      <c r="A403" s="157">
        <v>148</v>
      </c>
      <c r="B403" s="200" t="s">
        <v>1553</v>
      </c>
      <c r="C403" s="158" t="s">
        <v>286</v>
      </c>
      <c r="D403" s="65" t="s">
        <v>1779</v>
      </c>
      <c r="E403" s="14" t="s">
        <v>1545</v>
      </c>
      <c r="F403" s="15" t="s">
        <v>1546</v>
      </c>
      <c r="G403" s="63" t="s">
        <v>1543</v>
      </c>
      <c r="H403" s="163">
        <f>LEN(B403)-LEN(SUBSTITUTE(B403,",",""))+1</f>
        <v>1</v>
      </c>
      <c r="I403" s="158" t="s">
        <v>253</v>
      </c>
    </row>
    <row r="404" spans="1:12" s="3" customFormat="1" ht="30" customHeight="1">
      <c r="A404" s="157"/>
      <c r="B404" s="201"/>
      <c r="C404" s="159"/>
      <c r="D404" s="65" t="s">
        <v>1548</v>
      </c>
      <c r="E404" s="14" t="s">
        <v>1549</v>
      </c>
      <c r="F404" s="15" t="s">
        <v>1550</v>
      </c>
      <c r="G404" s="63" t="s">
        <v>91</v>
      </c>
      <c r="H404" s="163"/>
      <c r="I404" s="159"/>
    </row>
    <row r="405" spans="1:12" s="3" customFormat="1" ht="30" customHeight="1">
      <c r="A405" s="157"/>
      <c r="B405" s="202"/>
      <c r="C405" s="160"/>
      <c r="D405" s="65" t="s">
        <v>1552</v>
      </c>
      <c r="E405" s="14" t="s">
        <v>1551</v>
      </c>
      <c r="F405" s="15" t="s">
        <v>1550</v>
      </c>
      <c r="G405" s="63" t="s">
        <v>37</v>
      </c>
      <c r="H405" s="163"/>
      <c r="I405" s="160"/>
    </row>
    <row r="406" spans="1:12" s="3" customFormat="1" ht="30" customHeight="1">
      <c r="A406" s="157">
        <v>149</v>
      </c>
      <c r="B406" s="164" t="s">
        <v>598</v>
      </c>
      <c r="C406" s="158" t="s">
        <v>286</v>
      </c>
      <c r="D406" s="65" t="s">
        <v>1780</v>
      </c>
      <c r="E406" s="14" t="s">
        <v>671</v>
      </c>
      <c r="F406" s="15" t="s">
        <v>420</v>
      </c>
      <c r="G406" s="63" t="s">
        <v>283</v>
      </c>
      <c r="H406" s="163">
        <f>LEN(B406)-LEN(SUBSTITUTE(B406,",",""))+1</f>
        <v>1</v>
      </c>
      <c r="I406" s="158" t="s">
        <v>253</v>
      </c>
    </row>
    <row r="407" spans="1:12" s="3" customFormat="1" ht="30" customHeight="1">
      <c r="A407" s="157"/>
      <c r="B407" s="165"/>
      <c r="C407" s="159"/>
      <c r="D407" s="65" t="s">
        <v>421</v>
      </c>
      <c r="E407" s="14" t="s">
        <v>672</v>
      </c>
      <c r="F407" s="15" t="s">
        <v>422</v>
      </c>
      <c r="G407" s="63" t="s">
        <v>91</v>
      </c>
      <c r="H407" s="163"/>
      <c r="I407" s="159"/>
    </row>
    <row r="408" spans="1:12" s="3" customFormat="1" ht="30" customHeight="1">
      <c r="A408" s="157"/>
      <c r="B408" s="166"/>
      <c r="C408" s="160"/>
      <c r="D408" s="65" t="s">
        <v>76</v>
      </c>
      <c r="E408" s="14" t="s">
        <v>673</v>
      </c>
      <c r="F408" s="15" t="s">
        <v>77</v>
      </c>
      <c r="G408" s="63" t="s">
        <v>37</v>
      </c>
      <c r="H408" s="163"/>
      <c r="I408" s="160"/>
    </row>
    <row r="409" spans="1:12" s="3" customFormat="1" ht="30" customHeight="1">
      <c r="A409" s="157">
        <v>150</v>
      </c>
      <c r="B409" s="164" t="s">
        <v>1542</v>
      </c>
      <c r="C409" s="158" t="s">
        <v>849</v>
      </c>
      <c r="D409" s="62" t="s">
        <v>1781</v>
      </c>
      <c r="E409" s="4" t="s">
        <v>850</v>
      </c>
      <c r="F409" s="15" t="s">
        <v>851</v>
      </c>
      <c r="G409" s="63" t="s">
        <v>852</v>
      </c>
      <c r="H409" s="163">
        <f>LEN(B409)-LEN(SUBSTITUTE(B409,",",""))+1</f>
        <v>1</v>
      </c>
      <c r="I409" s="158" t="s">
        <v>853</v>
      </c>
    </row>
    <row r="410" spans="1:12" s="3" customFormat="1" ht="30" customHeight="1">
      <c r="A410" s="157"/>
      <c r="B410" s="165"/>
      <c r="C410" s="159"/>
      <c r="D410" s="62" t="s">
        <v>423</v>
      </c>
      <c r="E410" s="4" t="s">
        <v>854</v>
      </c>
      <c r="F410" s="15" t="s">
        <v>855</v>
      </c>
      <c r="G410" s="63" t="s">
        <v>91</v>
      </c>
      <c r="H410" s="163"/>
      <c r="I410" s="159"/>
    </row>
    <row r="411" spans="1:12" s="3" customFormat="1" ht="30" customHeight="1">
      <c r="A411" s="157"/>
      <c r="B411" s="166"/>
      <c r="C411" s="160"/>
      <c r="D411" s="62" t="s">
        <v>78</v>
      </c>
      <c r="E411" s="4" t="s">
        <v>636</v>
      </c>
      <c r="F411" s="15" t="s">
        <v>79</v>
      </c>
      <c r="G411" s="63" t="s">
        <v>37</v>
      </c>
      <c r="H411" s="163"/>
      <c r="I411" s="160"/>
    </row>
    <row r="412" spans="1:12" s="3" customFormat="1" ht="30" customHeight="1">
      <c r="A412" s="157">
        <v>151</v>
      </c>
      <c r="B412" s="164" t="s">
        <v>635</v>
      </c>
      <c r="C412" s="158" t="s">
        <v>286</v>
      </c>
      <c r="D412" s="62" t="s">
        <v>1782</v>
      </c>
      <c r="E412" s="4" t="s">
        <v>424</v>
      </c>
      <c r="F412" s="15" t="s">
        <v>425</v>
      </c>
      <c r="G412" s="63" t="s">
        <v>283</v>
      </c>
      <c r="H412" s="163">
        <f t="shared" ref="H412:H418" si="4">LEN(B412)-LEN(SUBSTITUTE(B412,",",""))+1</f>
        <v>1</v>
      </c>
      <c r="I412" s="158" t="s">
        <v>253</v>
      </c>
    </row>
    <row r="413" spans="1:12" s="3" customFormat="1" ht="30" customHeight="1">
      <c r="A413" s="157"/>
      <c r="B413" s="165"/>
      <c r="C413" s="159"/>
      <c r="D413" s="62" t="s">
        <v>426</v>
      </c>
      <c r="E413" s="4" t="s">
        <v>427</v>
      </c>
      <c r="F413" s="15" t="s">
        <v>428</v>
      </c>
      <c r="G413" s="63" t="s">
        <v>91</v>
      </c>
      <c r="H413" s="163"/>
      <c r="I413" s="159"/>
      <c r="J413" s="10"/>
      <c r="K413" s="10"/>
      <c r="L413" s="10"/>
    </row>
    <row r="414" spans="1:12" s="3" customFormat="1" ht="30" customHeight="1">
      <c r="A414" s="157"/>
      <c r="B414" s="166"/>
      <c r="C414" s="160"/>
      <c r="D414" s="62" t="s">
        <v>80</v>
      </c>
      <c r="E414" s="4" t="s">
        <v>81</v>
      </c>
      <c r="F414" s="15" t="s">
        <v>82</v>
      </c>
      <c r="G414" s="63" t="s">
        <v>37</v>
      </c>
      <c r="H414" s="163"/>
      <c r="I414" s="160"/>
      <c r="J414" s="10"/>
      <c r="K414" s="10"/>
      <c r="L414" s="10"/>
    </row>
    <row r="415" spans="1:12" s="3" customFormat="1" ht="30" customHeight="1">
      <c r="A415" s="157">
        <v>152</v>
      </c>
      <c r="B415" s="164" t="s">
        <v>644</v>
      </c>
      <c r="C415" s="158" t="s">
        <v>286</v>
      </c>
      <c r="D415" s="62" t="s">
        <v>1783</v>
      </c>
      <c r="E415" s="4" t="s">
        <v>429</v>
      </c>
      <c r="F415" s="15" t="s">
        <v>430</v>
      </c>
      <c r="G415" s="63" t="s">
        <v>283</v>
      </c>
      <c r="H415" s="163">
        <f t="shared" si="4"/>
        <v>2</v>
      </c>
      <c r="I415" s="158" t="s">
        <v>253</v>
      </c>
      <c r="J415" s="10"/>
      <c r="K415" s="10"/>
      <c r="L415" s="10"/>
    </row>
    <row r="416" spans="1:12" s="3" customFormat="1" ht="30" customHeight="1">
      <c r="A416" s="157"/>
      <c r="B416" s="165"/>
      <c r="C416" s="159"/>
      <c r="D416" s="62" t="s">
        <v>431</v>
      </c>
      <c r="E416" s="4" t="s">
        <v>432</v>
      </c>
      <c r="F416" s="15" t="s">
        <v>433</v>
      </c>
      <c r="G416" s="63" t="s">
        <v>91</v>
      </c>
      <c r="H416" s="163"/>
      <c r="I416" s="159"/>
    </row>
    <row r="417" spans="1:12" s="3" customFormat="1" ht="30" customHeight="1">
      <c r="A417" s="157"/>
      <c r="B417" s="166"/>
      <c r="C417" s="160"/>
      <c r="D417" s="65" t="s">
        <v>133</v>
      </c>
      <c r="E417" s="14" t="s">
        <v>134</v>
      </c>
      <c r="F417" s="15" t="s">
        <v>135</v>
      </c>
      <c r="G417" s="63" t="s">
        <v>37</v>
      </c>
      <c r="H417" s="163"/>
      <c r="I417" s="160"/>
      <c r="J417" s="10"/>
      <c r="K417" s="10"/>
      <c r="L417" s="10"/>
    </row>
    <row r="418" spans="1:12" s="3" customFormat="1" ht="30" customHeight="1">
      <c r="A418" s="157">
        <v>153</v>
      </c>
      <c r="B418" s="200" t="s">
        <v>1637</v>
      </c>
      <c r="C418" s="158" t="s">
        <v>286</v>
      </c>
      <c r="D418" s="65" t="s">
        <v>434</v>
      </c>
      <c r="E418" s="14" t="s">
        <v>435</v>
      </c>
      <c r="F418" s="15" t="s">
        <v>436</v>
      </c>
      <c r="G418" s="63" t="s">
        <v>283</v>
      </c>
      <c r="H418" s="163">
        <f t="shared" si="4"/>
        <v>4</v>
      </c>
      <c r="I418" s="158" t="s">
        <v>253</v>
      </c>
      <c r="J418" s="161"/>
      <c r="K418" s="162"/>
      <c r="L418" s="10"/>
    </row>
    <row r="419" spans="1:12" s="3" customFormat="1" ht="30" customHeight="1">
      <c r="A419" s="157"/>
      <c r="B419" s="201"/>
      <c r="C419" s="159"/>
      <c r="D419" s="65" t="s">
        <v>437</v>
      </c>
      <c r="E419" s="14" t="s">
        <v>438</v>
      </c>
      <c r="F419" s="15" t="s">
        <v>439</v>
      </c>
      <c r="G419" s="63" t="s">
        <v>91</v>
      </c>
      <c r="H419" s="163"/>
      <c r="I419" s="159"/>
      <c r="J419" s="161"/>
      <c r="K419" s="162"/>
      <c r="L419" s="10"/>
    </row>
    <row r="420" spans="1:12" s="3" customFormat="1" ht="30" customHeight="1">
      <c r="A420" s="157"/>
      <c r="B420" s="202"/>
      <c r="C420" s="160"/>
      <c r="D420" s="65" t="s">
        <v>440</v>
      </c>
      <c r="E420" s="14" t="s">
        <v>441</v>
      </c>
      <c r="F420" s="15" t="s">
        <v>439</v>
      </c>
      <c r="G420" s="63" t="s">
        <v>37</v>
      </c>
      <c r="H420" s="163"/>
      <c r="I420" s="160"/>
      <c r="J420" s="161"/>
      <c r="K420" s="162"/>
    </row>
    <row r="421" spans="1:12" ht="30" customHeight="1">
      <c r="A421" s="157">
        <v>154</v>
      </c>
      <c r="B421" s="174" t="s">
        <v>992</v>
      </c>
      <c r="C421" s="169" t="s">
        <v>990</v>
      </c>
      <c r="D421" s="9" t="s">
        <v>1784</v>
      </c>
      <c r="E421" s="8" t="s">
        <v>997</v>
      </c>
      <c r="F421" s="8" t="s">
        <v>996</v>
      </c>
      <c r="G421" s="9" t="s">
        <v>38</v>
      </c>
      <c r="H421" s="163">
        <f>LEN(B421)-LEN(SUBSTITUTE(B421,",",""))+1</f>
        <v>1</v>
      </c>
      <c r="I421" s="172" t="s">
        <v>991</v>
      </c>
    </row>
    <row r="422" spans="1:12" ht="30" customHeight="1">
      <c r="A422" s="157"/>
      <c r="B422" s="174"/>
      <c r="C422" s="169"/>
      <c r="D422" s="9" t="s">
        <v>994</v>
      </c>
      <c r="E422" s="8" t="s">
        <v>995</v>
      </c>
      <c r="F422" s="8" t="s">
        <v>996</v>
      </c>
      <c r="G422" s="9" t="s">
        <v>91</v>
      </c>
      <c r="H422" s="163"/>
      <c r="I422" s="172"/>
    </row>
    <row r="423" spans="1:12" ht="30" customHeight="1">
      <c r="A423" s="157"/>
      <c r="B423" s="174"/>
      <c r="C423" s="169"/>
      <c r="D423" s="9" t="s">
        <v>1562</v>
      </c>
      <c r="E423" s="8" t="s">
        <v>995</v>
      </c>
      <c r="F423" s="8" t="s">
        <v>996</v>
      </c>
      <c r="G423" s="63" t="s">
        <v>37</v>
      </c>
      <c r="H423" s="163"/>
      <c r="I423" s="172"/>
    </row>
    <row r="424" spans="1:12" s="3" customFormat="1" ht="30" customHeight="1">
      <c r="A424" s="157">
        <v>155</v>
      </c>
      <c r="B424" s="164" t="s">
        <v>1615</v>
      </c>
      <c r="C424" s="158" t="s">
        <v>286</v>
      </c>
      <c r="D424" s="65" t="s">
        <v>789</v>
      </c>
      <c r="E424" s="14" t="s">
        <v>442</v>
      </c>
      <c r="F424" s="15" t="s">
        <v>443</v>
      </c>
      <c r="G424" s="63" t="s">
        <v>283</v>
      </c>
      <c r="H424" s="163">
        <f>LEN(B424)-LEN(SUBSTITUTE(B424,",",""))+1</f>
        <v>1</v>
      </c>
      <c r="I424" s="158" t="s">
        <v>253</v>
      </c>
      <c r="J424" s="10"/>
      <c r="K424" s="10"/>
      <c r="L424" s="10"/>
    </row>
    <row r="425" spans="1:12" ht="30" customHeight="1">
      <c r="A425" s="157"/>
      <c r="B425" s="165"/>
      <c r="C425" s="159"/>
      <c r="D425" s="65" t="s">
        <v>444</v>
      </c>
      <c r="E425" s="14" t="s">
        <v>445</v>
      </c>
      <c r="F425" s="15" t="s">
        <v>446</v>
      </c>
      <c r="G425" s="63" t="s">
        <v>91</v>
      </c>
      <c r="H425" s="163"/>
      <c r="I425" s="159"/>
    </row>
    <row r="426" spans="1:12" ht="30" customHeight="1">
      <c r="A426" s="157"/>
      <c r="B426" s="166"/>
      <c r="C426" s="160"/>
      <c r="D426" s="65" t="s">
        <v>136</v>
      </c>
      <c r="E426" s="14" t="s">
        <v>137</v>
      </c>
      <c r="F426" s="15" t="s">
        <v>138</v>
      </c>
      <c r="G426" s="63" t="s">
        <v>37</v>
      </c>
      <c r="H426" s="163"/>
      <c r="I426" s="160"/>
    </row>
    <row r="427" spans="1:12" ht="30" customHeight="1">
      <c r="A427" s="157">
        <v>156</v>
      </c>
      <c r="B427" s="164" t="s">
        <v>714</v>
      </c>
      <c r="C427" s="158" t="s">
        <v>286</v>
      </c>
      <c r="D427" s="65" t="s">
        <v>1785</v>
      </c>
      <c r="E427" s="14" t="s">
        <v>447</v>
      </c>
      <c r="F427" s="15" t="s">
        <v>448</v>
      </c>
      <c r="G427" s="63" t="s">
        <v>283</v>
      </c>
      <c r="H427" s="163">
        <f>LEN(B427)-LEN(SUBSTITUTE(B427,",",""))+1</f>
        <v>1</v>
      </c>
      <c r="I427" s="158" t="s">
        <v>253</v>
      </c>
    </row>
    <row r="428" spans="1:12" s="3" customFormat="1" ht="30" customHeight="1">
      <c r="A428" s="157"/>
      <c r="B428" s="165"/>
      <c r="C428" s="159"/>
      <c r="D428" s="65" t="s">
        <v>449</v>
      </c>
      <c r="E428" s="14" t="s">
        <v>450</v>
      </c>
      <c r="F428" s="15" t="s">
        <v>451</v>
      </c>
      <c r="G428" s="63" t="s">
        <v>91</v>
      </c>
      <c r="H428" s="163"/>
      <c r="I428" s="159"/>
      <c r="J428" s="10"/>
      <c r="K428" s="10"/>
      <c r="L428" s="10"/>
    </row>
    <row r="429" spans="1:12" ht="30" customHeight="1">
      <c r="A429" s="157"/>
      <c r="B429" s="166"/>
      <c r="C429" s="160"/>
      <c r="D429" s="65" t="s">
        <v>83</v>
      </c>
      <c r="E429" s="14" t="s">
        <v>84</v>
      </c>
      <c r="F429" s="15" t="s">
        <v>85</v>
      </c>
      <c r="G429" s="63" t="s">
        <v>37</v>
      </c>
      <c r="H429" s="163"/>
      <c r="I429" s="160"/>
    </row>
    <row r="430" spans="1:12" ht="30" customHeight="1">
      <c r="A430" s="157">
        <v>157</v>
      </c>
      <c r="B430" s="164" t="s">
        <v>1481</v>
      </c>
      <c r="C430" s="158" t="s">
        <v>286</v>
      </c>
      <c r="D430" s="65" t="s">
        <v>811</v>
      </c>
      <c r="E430" s="14" t="s">
        <v>812</v>
      </c>
      <c r="F430" s="15" t="s">
        <v>813</v>
      </c>
      <c r="G430" s="63" t="s">
        <v>814</v>
      </c>
      <c r="H430" s="163">
        <f>LEN(B430)-LEN(SUBSTITUTE(B430,",",""))+1</f>
        <v>1</v>
      </c>
      <c r="I430" s="158" t="s">
        <v>815</v>
      </c>
    </row>
    <row r="431" spans="1:12" ht="30" customHeight="1">
      <c r="A431" s="157"/>
      <c r="B431" s="165"/>
      <c r="C431" s="159"/>
      <c r="D431" s="65" t="s">
        <v>816</v>
      </c>
      <c r="E431" s="14" t="s">
        <v>817</v>
      </c>
      <c r="F431" s="15" t="s">
        <v>818</v>
      </c>
      <c r="G431" s="63" t="s">
        <v>91</v>
      </c>
      <c r="H431" s="163"/>
      <c r="I431" s="159"/>
    </row>
    <row r="432" spans="1:12" ht="30" customHeight="1">
      <c r="A432" s="157"/>
      <c r="B432" s="166"/>
      <c r="C432" s="160"/>
      <c r="D432" s="65" t="s">
        <v>819</v>
      </c>
      <c r="E432" s="14" t="s">
        <v>820</v>
      </c>
      <c r="F432" s="15" t="s">
        <v>821</v>
      </c>
      <c r="G432" s="63" t="s">
        <v>37</v>
      </c>
      <c r="H432" s="163"/>
      <c r="I432" s="160"/>
    </row>
    <row r="433" spans="1:9" ht="30" customHeight="1">
      <c r="A433" s="157"/>
      <c r="B433" s="174" t="s">
        <v>1616</v>
      </c>
      <c r="C433" s="169" t="s">
        <v>849</v>
      </c>
      <c r="D433" s="65" t="s">
        <v>1786</v>
      </c>
      <c r="E433" s="14" t="s">
        <v>1617</v>
      </c>
      <c r="F433" s="15" t="s">
        <v>1618</v>
      </c>
      <c r="G433" s="63" t="s">
        <v>1619</v>
      </c>
      <c r="H433" s="163">
        <f>LEN(B433)-LEN(SUBSTITUTE(B433,",",""))+1</f>
        <v>1</v>
      </c>
      <c r="I433" s="169" t="s">
        <v>985</v>
      </c>
    </row>
    <row r="434" spans="1:9" ht="30" customHeight="1">
      <c r="A434" s="157"/>
      <c r="B434" s="174"/>
      <c r="C434" s="169"/>
      <c r="D434" s="65" t="s">
        <v>1620</v>
      </c>
      <c r="E434" s="14" t="s">
        <v>1621</v>
      </c>
      <c r="F434" s="15" t="s">
        <v>1622</v>
      </c>
      <c r="G434" s="63" t="s">
        <v>91</v>
      </c>
      <c r="H434" s="163"/>
      <c r="I434" s="169"/>
    </row>
    <row r="435" spans="1:9" ht="30" customHeight="1">
      <c r="A435" s="157"/>
      <c r="B435" s="174"/>
      <c r="C435" s="169"/>
      <c r="D435" s="65" t="s">
        <v>1623</v>
      </c>
      <c r="E435" s="14" t="s">
        <v>1624</v>
      </c>
      <c r="F435" s="15" t="s">
        <v>1625</v>
      </c>
      <c r="G435" s="63" t="s">
        <v>37</v>
      </c>
      <c r="H435" s="163"/>
      <c r="I435" s="169"/>
    </row>
    <row r="436" spans="1:9" ht="30" customHeight="1">
      <c r="A436" s="157">
        <v>158</v>
      </c>
      <c r="B436" s="164" t="s">
        <v>586</v>
      </c>
      <c r="C436" s="169" t="s">
        <v>1068</v>
      </c>
      <c r="D436" s="9" t="s">
        <v>1787</v>
      </c>
      <c r="E436" s="8" t="s">
        <v>1069</v>
      </c>
      <c r="F436" s="8" t="s">
        <v>1070</v>
      </c>
      <c r="G436" s="9" t="s">
        <v>38</v>
      </c>
      <c r="H436" s="163">
        <f>LEN(B436)-LEN(SUBSTITUTE(B436,",",""))+1</f>
        <v>1</v>
      </c>
      <c r="I436" s="158" t="s">
        <v>253</v>
      </c>
    </row>
    <row r="437" spans="1:9" ht="30" customHeight="1">
      <c r="A437" s="157"/>
      <c r="B437" s="165"/>
      <c r="C437" s="169"/>
      <c r="D437" s="9" t="s">
        <v>1071</v>
      </c>
      <c r="E437" s="8" t="s">
        <v>1072</v>
      </c>
      <c r="F437" s="8" t="s">
        <v>1073</v>
      </c>
      <c r="G437" s="9" t="s">
        <v>91</v>
      </c>
      <c r="H437" s="163"/>
      <c r="I437" s="159"/>
    </row>
    <row r="438" spans="1:9" ht="30" customHeight="1">
      <c r="A438" s="157"/>
      <c r="B438" s="166"/>
      <c r="C438" s="169"/>
      <c r="D438" s="9" t="s">
        <v>1074</v>
      </c>
      <c r="E438" s="8" t="s">
        <v>1075</v>
      </c>
      <c r="F438" s="8" t="s">
        <v>1073</v>
      </c>
      <c r="G438" s="9" t="s">
        <v>37</v>
      </c>
      <c r="H438" s="163"/>
      <c r="I438" s="160"/>
    </row>
    <row r="439" spans="1:9" ht="30" customHeight="1">
      <c r="A439" s="157">
        <v>160</v>
      </c>
      <c r="B439" s="164" t="s">
        <v>1614</v>
      </c>
      <c r="C439" s="158" t="s">
        <v>286</v>
      </c>
      <c r="D439" s="65" t="s">
        <v>1788</v>
      </c>
      <c r="E439" s="14" t="s">
        <v>1434</v>
      </c>
      <c r="F439" s="15" t="s">
        <v>452</v>
      </c>
      <c r="G439" s="63" t="s">
        <v>283</v>
      </c>
      <c r="H439" s="163">
        <f>LEN(B439)-LEN(SUBSTITUTE(B439,",",""))+1</f>
        <v>5</v>
      </c>
      <c r="I439" s="158" t="s">
        <v>253</v>
      </c>
    </row>
    <row r="440" spans="1:9" ht="30" customHeight="1">
      <c r="A440" s="157"/>
      <c r="B440" s="165"/>
      <c r="C440" s="159"/>
      <c r="D440" s="65" t="s">
        <v>453</v>
      </c>
      <c r="E440" s="14" t="s">
        <v>454</v>
      </c>
      <c r="F440" s="15" t="s">
        <v>455</v>
      </c>
      <c r="G440" s="63" t="s">
        <v>91</v>
      </c>
      <c r="H440" s="163"/>
      <c r="I440" s="159"/>
    </row>
    <row r="441" spans="1:9" ht="30" customHeight="1">
      <c r="A441" s="157"/>
      <c r="B441" s="166"/>
      <c r="C441" s="160"/>
      <c r="D441" s="65" t="s">
        <v>139</v>
      </c>
      <c r="E441" s="14" t="s">
        <v>1435</v>
      </c>
      <c r="F441" s="15" t="s">
        <v>140</v>
      </c>
      <c r="G441" s="63" t="s">
        <v>37</v>
      </c>
      <c r="H441" s="163"/>
      <c r="I441" s="160"/>
    </row>
    <row r="442" spans="1:9" ht="30" customHeight="1">
      <c r="A442" s="157"/>
      <c r="B442" s="174" t="s">
        <v>1605</v>
      </c>
      <c r="C442" s="169" t="s">
        <v>849</v>
      </c>
      <c r="D442" s="65" t="s">
        <v>1789</v>
      </c>
      <c r="E442" s="14" t="s">
        <v>1606</v>
      </c>
      <c r="F442" s="15" t="s">
        <v>1607</v>
      </c>
      <c r="G442" s="63" t="s">
        <v>823</v>
      </c>
      <c r="H442" s="163">
        <f>LEN(B442)-LEN(SUBSTITUTE(B442,",",""))+1</f>
        <v>1</v>
      </c>
      <c r="I442" s="169" t="s">
        <v>985</v>
      </c>
    </row>
    <row r="443" spans="1:9" ht="30" customHeight="1">
      <c r="A443" s="157"/>
      <c r="B443" s="174"/>
      <c r="C443" s="169"/>
      <c r="D443" s="65" t="s">
        <v>1608</v>
      </c>
      <c r="E443" s="14" t="s">
        <v>1609</v>
      </c>
      <c r="F443" s="15" t="s">
        <v>1610</v>
      </c>
      <c r="G443" s="63" t="s">
        <v>91</v>
      </c>
      <c r="H443" s="163"/>
      <c r="I443" s="169"/>
    </row>
    <row r="444" spans="1:9" ht="30" customHeight="1">
      <c r="A444" s="157"/>
      <c r="B444" s="174"/>
      <c r="C444" s="169"/>
      <c r="D444" s="65" t="s">
        <v>1611</v>
      </c>
      <c r="E444" s="14" t="s">
        <v>1612</v>
      </c>
      <c r="F444" s="15" t="s">
        <v>1613</v>
      </c>
      <c r="G444" s="63" t="s">
        <v>37</v>
      </c>
      <c r="H444" s="163"/>
      <c r="I444" s="169"/>
    </row>
    <row r="445" spans="1:9" ht="30" customHeight="1">
      <c r="A445" s="157">
        <v>161</v>
      </c>
      <c r="B445" s="174" t="s">
        <v>1299</v>
      </c>
      <c r="C445" s="169" t="s">
        <v>572</v>
      </c>
      <c r="D445" s="9" t="s">
        <v>1790</v>
      </c>
      <c r="E445" s="8" t="s">
        <v>979</v>
      </c>
      <c r="F445" s="8" t="s">
        <v>980</v>
      </c>
      <c r="G445" s="9" t="s">
        <v>38</v>
      </c>
      <c r="H445" s="163">
        <f>LEN(B445)-LEN(SUBSTITUTE(B445,",",""))+1</f>
        <v>2</v>
      </c>
      <c r="I445" s="172" t="s">
        <v>981</v>
      </c>
    </row>
    <row r="446" spans="1:9" ht="30" customHeight="1">
      <c r="A446" s="157"/>
      <c r="B446" s="174"/>
      <c r="C446" s="169"/>
      <c r="D446" s="9" t="s">
        <v>982</v>
      </c>
      <c r="E446" s="8" t="s">
        <v>983</v>
      </c>
      <c r="F446" s="8" t="s">
        <v>984</v>
      </c>
      <c r="G446" s="9" t="s">
        <v>91</v>
      </c>
      <c r="H446" s="163"/>
      <c r="I446" s="172"/>
    </row>
    <row r="447" spans="1:9" ht="30" customHeight="1">
      <c r="A447" s="157"/>
      <c r="B447" s="174"/>
      <c r="C447" s="169"/>
      <c r="D447" s="9" t="s">
        <v>1061</v>
      </c>
      <c r="E447" s="8" t="s">
        <v>1062</v>
      </c>
      <c r="F447" s="8" t="s">
        <v>984</v>
      </c>
      <c r="G447" s="9" t="s">
        <v>37</v>
      </c>
      <c r="H447" s="163"/>
      <c r="I447" s="172"/>
    </row>
    <row r="448" spans="1:9" ht="30" customHeight="1">
      <c r="A448" s="157">
        <v>162</v>
      </c>
      <c r="B448" s="175" t="s">
        <v>1432</v>
      </c>
      <c r="C448" s="173" t="s">
        <v>1361</v>
      </c>
      <c r="D448" s="9" t="s">
        <v>1791</v>
      </c>
      <c r="E448" s="8" t="s">
        <v>1425</v>
      </c>
      <c r="F448" s="8" t="s">
        <v>1426</v>
      </c>
      <c r="G448" s="9" t="s">
        <v>38</v>
      </c>
      <c r="H448" s="163">
        <f>LEN(B448)-LEN(SUBSTITUTE(B448,",",""))+1</f>
        <v>1</v>
      </c>
      <c r="I448" s="172" t="s">
        <v>257</v>
      </c>
    </row>
    <row r="449" spans="1:9" ht="30" customHeight="1">
      <c r="A449" s="157"/>
      <c r="B449" s="175"/>
      <c r="C449" s="173"/>
      <c r="D449" s="9" t="s">
        <v>1427</v>
      </c>
      <c r="E449" s="8" t="s">
        <v>1428</v>
      </c>
      <c r="F449" s="8" t="s">
        <v>1429</v>
      </c>
      <c r="G449" s="9" t="s">
        <v>91</v>
      </c>
      <c r="H449" s="163"/>
      <c r="I449" s="172"/>
    </row>
    <row r="450" spans="1:9" ht="30" customHeight="1">
      <c r="A450" s="157"/>
      <c r="B450" s="175"/>
      <c r="C450" s="173"/>
      <c r="D450" s="9" t="s">
        <v>1430</v>
      </c>
      <c r="E450" s="8" t="s">
        <v>1431</v>
      </c>
      <c r="F450" s="8" t="s">
        <v>1429</v>
      </c>
      <c r="G450" s="9" t="s">
        <v>37</v>
      </c>
      <c r="H450" s="163"/>
      <c r="I450" s="172"/>
    </row>
    <row r="451" spans="1:9" ht="30" customHeight="1">
      <c r="A451" s="157">
        <v>163</v>
      </c>
      <c r="B451" s="164" t="s">
        <v>674</v>
      </c>
      <c r="C451" s="158" t="s">
        <v>286</v>
      </c>
      <c r="D451" s="65" t="s">
        <v>1792</v>
      </c>
      <c r="E451" s="14" t="s">
        <v>456</v>
      </c>
      <c r="F451" s="15" t="s">
        <v>457</v>
      </c>
      <c r="G451" s="63" t="s">
        <v>283</v>
      </c>
      <c r="H451" s="163">
        <f>LEN(B451)-LEN(SUBSTITUTE(B451,",",""))+1</f>
        <v>1</v>
      </c>
      <c r="I451" s="158" t="s">
        <v>253</v>
      </c>
    </row>
    <row r="452" spans="1:9" ht="30" customHeight="1">
      <c r="A452" s="157"/>
      <c r="B452" s="165"/>
      <c r="C452" s="159"/>
      <c r="D452" s="65" t="s">
        <v>458</v>
      </c>
      <c r="E452" s="14" t="s">
        <v>459</v>
      </c>
      <c r="F452" s="15" t="s">
        <v>460</v>
      </c>
      <c r="G452" s="63" t="s">
        <v>91</v>
      </c>
      <c r="H452" s="163"/>
      <c r="I452" s="159"/>
    </row>
    <row r="453" spans="1:9" ht="30" customHeight="1">
      <c r="A453" s="157"/>
      <c r="B453" s="166"/>
      <c r="C453" s="160"/>
      <c r="D453" s="65" t="s">
        <v>141</v>
      </c>
      <c r="E453" s="14" t="s">
        <v>1060</v>
      </c>
      <c r="F453" s="15" t="s">
        <v>142</v>
      </c>
      <c r="G453" s="63" t="s">
        <v>37</v>
      </c>
      <c r="H453" s="163"/>
      <c r="I453" s="160"/>
    </row>
    <row r="454" spans="1:9" ht="30" customHeight="1">
      <c r="A454" s="157">
        <v>164</v>
      </c>
      <c r="B454" s="164" t="s">
        <v>675</v>
      </c>
      <c r="C454" s="158" t="s">
        <v>286</v>
      </c>
      <c r="D454" s="65" t="s">
        <v>1793</v>
      </c>
      <c r="E454" s="14" t="s">
        <v>461</v>
      </c>
      <c r="F454" s="15" t="s">
        <v>462</v>
      </c>
      <c r="G454" s="63" t="s">
        <v>283</v>
      </c>
      <c r="H454" s="163">
        <f>LEN(B454)-LEN(SUBSTITUTE(B454,",",""))+1</f>
        <v>1</v>
      </c>
      <c r="I454" s="158" t="s">
        <v>253</v>
      </c>
    </row>
    <row r="455" spans="1:9" ht="30" customHeight="1">
      <c r="A455" s="157"/>
      <c r="B455" s="165"/>
      <c r="C455" s="159"/>
      <c r="D455" s="65" t="s">
        <v>463</v>
      </c>
      <c r="E455" s="14" t="s">
        <v>464</v>
      </c>
      <c r="F455" s="15" t="s">
        <v>465</v>
      </c>
      <c r="G455" s="63" t="s">
        <v>91</v>
      </c>
      <c r="H455" s="163"/>
      <c r="I455" s="159"/>
    </row>
    <row r="456" spans="1:9" ht="30" customHeight="1">
      <c r="A456" s="157"/>
      <c r="B456" s="166"/>
      <c r="C456" s="160"/>
      <c r="D456" s="65" t="s">
        <v>143</v>
      </c>
      <c r="E456" s="14" t="s">
        <v>144</v>
      </c>
      <c r="F456" s="15" t="s">
        <v>145</v>
      </c>
      <c r="G456" s="63" t="s">
        <v>37</v>
      </c>
      <c r="H456" s="163"/>
      <c r="I456" s="160"/>
    </row>
    <row r="457" spans="1:9" ht="30" customHeight="1">
      <c r="A457" s="157">
        <v>165</v>
      </c>
      <c r="B457" s="164" t="s">
        <v>650</v>
      </c>
      <c r="C457" s="158" t="s">
        <v>286</v>
      </c>
      <c r="D457" s="12" t="s">
        <v>1794</v>
      </c>
      <c r="E457" s="14" t="s">
        <v>761</v>
      </c>
      <c r="F457" s="15" t="s">
        <v>466</v>
      </c>
      <c r="G457" s="63" t="s">
        <v>283</v>
      </c>
      <c r="H457" s="163">
        <f>LEN(B457)-LEN(SUBSTITUTE(B457,",",""))+1</f>
        <v>1</v>
      </c>
      <c r="I457" s="158" t="s">
        <v>253</v>
      </c>
    </row>
    <row r="458" spans="1:9" ht="30" customHeight="1">
      <c r="A458" s="157"/>
      <c r="B458" s="165"/>
      <c r="C458" s="159"/>
      <c r="D458" s="12" t="s">
        <v>467</v>
      </c>
      <c r="E458" s="14" t="s">
        <v>762</v>
      </c>
      <c r="F458" s="15" t="s">
        <v>468</v>
      </c>
      <c r="G458" s="63" t="s">
        <v>91</v>
      </c>
      <c r="H458" s="163"/>
      <c r="I458" s="159"/>
    </row>
    <row r="459" spans="1:9" ht="30" customHeight="1">
      <c r="A459" s="157"/>
      <c r="B459" s="166"/>
      <c r="C459" s="160"/>
      <c r="D459" s="12" t="s">
        <v>86</v>
      </c>
      <c r="E459" s="14" t="s">
        <v>763</v>
      </c>
      <c r="F459" s="15" t="s">
        <v>87</v>
      </c>
      <c r="G459" s="63" t="s">
        <v>37</v>
      </c>
      <c r="H459" s="163"/>
      <c r="I459" s="160"/>
    </row>
    <row r="460" spans="1:9" ht="30" customHeight="1">
      <c r="A460" s="157">
        <v>166</v>
      </c>
      <c r="B460" s="200" t="s">
        <v>1796</v>
      </c>
      <c r="C460" s="158" t="s">
        <v>286</v>
      </c>
      <c r="D460" s="12" t="s">
        <v>1795</v>
      </c>
      <c r="E460" s="14" t="s">
        <v>764</v>
      </c>
      <c r="F460" s="15" t="s">
        <v>1530</v>
      </c>
      <c r="G460" s="63" t="s">
        <v>311</v>
      </c>
      <c r="H460" s="163">
        <f>LEN(B460)-LEN(SUBSTITUTE(B460,",",""))+1</f>
        <v>3</v>
      </c>
      <c r="I460" s="158" t="s">
        <v>253</v>
      </c>
    </row>
    <row r="461" spans="1:9" ht="30" customHeight="1">
      <c r="A461" s="157"/>
      <c r="B461" s="201"/>
      <c r="C461" s="159"/>
      <c r="D461" s="12" t="s">
        <v>638</v>
      </c>
      <c r="E461" s="14" t="s">
        <v>639</v>
      </c>
      <c r="F461" s="15" t="s">
        <v>637</v>
      </c>
      <c r="G461" s="63" t="s">
        <v>419</v>
      </c>
      <c r="H461" s="163"/>
      <c r="I461" s="159"/>
    </row>
    <row r="462" spans="1:9" ht="30" customHeight="1">
      <c r="A462" s="157"/>
      <c r="B462" s="202"/>
      <c r="C462" s="160"/>
      <c r="D462" s="12" t="s">
        <v>640</v>
      </c>
      <c r="E462" s="14" t="s">
        <v>765</v>
      </c>
      <c r="F462" s="15" t="s">
        <v>641</v>
      </c>
      <c r="G462" s="63" t="s">
        <v>642</v>
      </c>
      <c r="H462" s="163"/>
      <c r="I462" s="160"/>
    </row>
    <row r="463" spans="1:9" ht="30" customHeight="1">
      <c r="A463" s="157">
        <v>170</v>
      </c>
      <c r="B463" s="164" t="s">
        <v>1359</v>
      </c>
      <c r="C463" s="158" t="s">
        <v>286</v>
      </c>
      <c r="D463" s="12" t="s">
        <v>469</v>
      </c>
      <c r="E463" s="14" t="s">
        <v>470</v>
      </c>
      <c r="F463" s="15" t="s">
        <v>471</v>
      </c>
      <c r="G463" s="63" t="s">
        <v>283</v>
      </c>
      <c r="H463" s="163">
        <f>LEN(B463)-LEN(SUBSTITUTE(B463,",",""))+1</f>
        <v>3</v>
      </c>
      <c r="I463" s="158" t="s">
        <v>253</v>
      </c>
    </row>
    <row r="464" spans="1:9" ht="30" customHeight="1">
      <c r="A464" s="157"/>
      <c r="B464" s="165"/>
      <c r="C464" s="159"/>
      <c r="D464" s="12" t="s">
        <v>472</v>
      </c>
      <c r="E464" s="14" t="s">
        <v>473</v>
      </c>
      <c r="F464" s="15" t="s">
        <v>474</v>
      </c>
      <c r="G464" s="63" t="s">
        <v>91</v>
      </c>
      <c r="H464" s="163"/>
      <c r="I464" s="159"/>
    </row>
    <row r="465" spans="1:9" ht="30" customHeight="1">
      <c r="A465" s="157"/>
      <c r="B465" s="166"/>
      <c r="C465" s="160"/>
      <c r="D465" s="65" t="s">
        <v>146</v>
      </c>
      <c r="E465" s="14" t="s">
        <v>147</v>
      </c>
      <c r="F465" s="15" t="s">
        <v>148</v>
      </c>
      <c r="G465" s="63" t="s">
        <v>37</v>
      </c>
      <c r="H465" s="163"/>
      <c r="I465" s="160"/>
    </row>
    <row r="466" spans="1:9" ht="30" customHeight="1">
      <c r="A466" s="157">
        <v>171</v>
      </c>
      <c r="B466" s="164" t="s">
        <v>475</v>
      </c>
      <c r="C466" s="158" t="s">
        <v>286</v>
      </c>
      <c r="D466" s="12" t="s">
        <v>1797</v>
      </c>
      <c r="E466" s="14" t="s">
        <v>476</v>
      </c>
      <c r="F466" s="15" t="s">
        <v>477</v>
      </c>
      <c r="G466" s="63" t="s">
        <v>283</v>
      </c>
      <c r="H466" s="163">
        <f>LEN(B466)-LEN(SUBSTITUTE(B466,",",""))+1</f>
        <v>1</v>
      </c>
      <c r="I466" s="158" t="s">
        <v>253</v>
      </c>
    </row>
    <row r="467" spans="1:9" ht="30" customHeight="1">
      <c r="A467" s="157"/>
      <c r="B467" s="165"/>
      <c r="C467" s="159"/>
      <c r="D467" s="12" t="s">
        <v>527</v>
      </c>
      <c r="E467" s="14" t="s">
        <v>478</v>
      </c>
      <c r="F467" s="15" t="s">
        <v>479</v>
      </c>
      <c r="G467" s="63" t="s">
        <v>91</v>
      </c>
      <c r="H467" s="163"/>
      <c r="I467" s="159"/>
    </row>
    <row r="468" spans="1:9" ht="30" customHeight="1">
      <c r="A468" s="157"/>
      <c r="B468" s="166"/>
      <c r="C468" s="160"/>
      <c r="D468" s="65" t="s">
        <v>170</v>
      </c>
      <c r="E468" s="14" t="s">
        <v>480</v>
      </c>
      <c r="F468" s="15" t="s">
        <v>481</v>
      </c>
      <c r="G468" s="63" t="s">
        <v>37</v>
      </c>
      <c r="H468" s="163"/>
      <c r="I468" s="160"/>
    </row>
    <row r="469" spans="1:9" ht="30" customHeight="1">
      <c r="A469" s="157">
        <v>172</v>
      </c>
      <c r="B469" s="223" t="s">
        <v>1487</v>
      </c>
      <c r="C469" s="158" t="s">
        <v>310</v>
      </c>
      <c r="D469" s="35" t="s">
        <v>1286</v>
      </c>
      <c r="E469" s="34" t="s">
        <v>677</v>
      </c>
      <c r="F469" s="34" t="s">
        <v>678</v>
      </c>
      <c r="G469" s="35" t="s">
        <v>38</v>
      </c>
      <c r="H469" s="163">
        <f>LEN(B469)-LEN(SUBSTITUTE(B469,",",""))+1</f>
        <v>3</v>
      </c>
      <c r="I469" s="158" t="s">
        <v>985</v>
      </c>
    </row>
    <row r="470" spans="1:9" ht="30" customHeight="1">
      <c r="A470" s="157"/>
      <c r="B470" s="224"/>
      <c r="C470" s="159"/>
      <c r="D470" s="37" t="s">
        <v>679</v>
      </c>
      <c r="E470" s="41" t="s">
        <v>680</v>
      </c>
      <c r="F470" s="41" t="s">
        <v>681</v>
      </c>
      <c r="G470" s="37" t="s">
        <v>91</v>
      </c>
      <c r="H470" s="163"/>
      <c r="I470" s="159"/>
    </row>
    <row r="471" spans="1:9" ht="30" customHeight="1">
      <c r="A471" s="157"/>
      <c r="B471" s="225"/>
      <c r="C471" s="160"/>
      <c r="D471" s="37" t="s">
        <v>682</v>
      </c>
      <c r="E471" s="41" t="s">
        <v>683</v>
      </c>
      <c r="F471" s="41" t="s">
        <v>681</v>
      </c>
      <c r="G471" s="37" t="s">
        <v>37</v>
      </c>
      <c r="H471" s="163"/>
      <c r="I471" s="160"/>
    </row>
    <row r="472" spans="1:9" ht="30" customHeight="1">
      <c r="A472" s="157">
        <v>173</v>
      </c>
      <c r="B472" s="174" t="s">
        <v>1800</v>
      </c>
      <c r="C472" s="169" t="s">
        <v>286</v>
      </c>
      <c r="D472" s="12" t="s">
        <v>484</v>
      </c>
      <c r="E472" s="7" t="s">
        <v>553</v>
      </c>
      <c r="F472" s="7" t="s">
        <v>485</v>
      </c>
      <c r="G472" s="63" t="s">
        <v>283</v>
      </c>
      <c r="H472" s="163">
        <f>LEN(B472)-LEN(SUBSTITUTE(B472,",",""))+1</f>
        <v>16</v>
      </c>
      <c r="I472" s="169" t="s">
        <v>253</v>
      </c>
    </row>
    <row r="473" spans="1:9" ht="30" customHeight="1">
      <c r="A473" s="157"/>
      <c r="B473" s="174"/>
      <c r="C473" s="169"/>
      <c r="D473" s="12" t="s">
        <v>486</v>
      </c>
      <c r="E473" s="7" t="s">
        <v>487</v>
      </c>
      <c r="F473" s="7" t="s">
        <v>488</v>
      </c>
      <c r="G473" s="63" t="s">
        <v>91</v>
      </c>
      <c r="H473" s="163"/>
      <c r="I473" s="169"/>
    </row>
    <row r="474" spans="1:9" ht="30" customHeight="1">
      <c r="A474" s="157"/>
      <c r="B474" s="174"/>
      <c r="C474" s="169"/>
      <c r="D474" s="12" t="s">
        <v>88</v>
      </c>
      <c r="E474" s="7" t="s">
        <v>89</v>
      </c>
      <c r="F474" s="7" t="s">
        <v>90</v>
      </c>
      <c r="G474" s="63" t="s">
        <v>37</v>
      </c>
      <c r="H474" s="163"/>
      <c r="I474" s="169"/>
    </row>
    <row r="475" spans="1:9" ht="30" customHeight="1">
      <c r="A475" s="205">
        <v>174</v>
      </c>
      <c r="B475" s="164" t="s">
        <v>489</v>
      </c>
      <c r="C475" s="158" t="s">
        <v>490</v>
      </c>
      <c r="D475" s="42" t="s">
        <v>491</v>
      </c>
      <c r="E475" s="43" t="s">
        <v>166</v>
      </c>
      <c r="F475" s="43" t="s">
        <v>167</v>
      </c>
      <c r="G475" s="42" t="s">
        <v>168</v>
      </c>
      <c r="H475" s="167">
        <f>LEN(B475)-LEN(SUBSTITUTE(B475,",",""))+1</f>
        <v>1</v>
      </c>
      <c r="I475" s="158" t="s">
        <v>253</v>
      </c>
    </row>
    <row r="476" spans="1:9" ht="30" customHeight="1">
      <c r="A476" s="206"/>
      <c r="B476" s="166"/>
      <c r="C476" s="160"/>
      <c r="D476" s="12"/>
      <c r="E476" s="7"/>
      <c r="F476" s="7"/>
      <c r="G476" s="63"/>
      <c r="H476" s="171"/>
      <c r="I476" s="160"/>
    </row>
    <row r="477" spans="1:9" s="53" customFormat="1" ht="30" customHeight="1">
      <c r="A477" s="203">
        <v>175</v>
      </c>
      <c r="B477" s="212" t="s">
        <v>1357</v>
      </c>
      <c r="C477" s="213" t="s">
        <v>492</v>
      </c>
      <c r="D477" s="109" t="s">
        <v>1799</v>
      </c>
      <c r="E477" s="76" t="s">
        <v>1293</v>
      </c>
      <c r="F477" s="97" t="s">
        <v>716</v>
      </c>
      <c r="G477" s="74" t="s">
        <v>717</v>
      </c>
      <c r="H477" s="177">
        <f>LEN(B477)-LEN(SUBSTITUTE(B477,",",""))+1</f>
        <v>6</v>
      </c>
      <c r="I477" s="185" t="s">
        <v>253</v>
      </c>
    </row>
    <row r="478" spans="1:9" s="53" customFormat="1" ht="30" customHeight="1">
      <c r="A478" s="204"/>
      <c r="B478" s="212"/>
      <c r="C478" s="213"/>
      <c r="D478" s="112" t="s">
        <v>719</v>
      </c>
      <c r="E478" s="88" t="s">
        <v>493</v>
      </c>
      <c r="F478" s="88" t="s">
        <v>494</v>
      </c>
      <c r="G478" s="74" t="s">
        <v>495</v>
      </c>
      <c r="H478" s="186"/>
      <c r="I478" s="185"/>
    </row>
    <row r="479" spans="1:9" ht="30" customHeight="1">
      <c r="A479" s="205">
        <v>176</v>
      </c>
      <c r="B479" s="174"/>
      <c r="C479" s="173" t="s">
        <v>1280</v>
      </c>
      <c r="D479" s="44" t="s">
        <v>496</v>
      </c>
      <c r="E479" s="22" t="s">
        <v>497</v>
      </c>
      <c r="F479" s="45" t="s">
        <v>498</v>
      </c>
      <c r="G479" s="21" t="s">
        <v>499</v>
      </c>
      <c r="H479" s="169" t="s">
        <v>500</v>
      </c>
      <c r="I479" s="169" t="s">
        <v>253</v>
      </c>
    </row>
    <row r="480" spans="1:9" ht="30" customHeight="1">
      <c r="A480" s="206"/>
      <c r="B480" s="174"/>
      <c r="C480" s="173"/>
      <c r="D480" s="12"/>
      <c r="E480" s="46"/>
      <c r="F480" s="7"/>
      <c r="G480" s="63"/>
      <c r="H480" s="169"/>
      <c r="I480" s="169"/>
    </row>
    <row r="481" spans="1:9" s="53" customFormat="1" ht="30" customHeight="1">
      <c r="A481" s="203">
        <v>177</v>
      </c>
      <c r="B481" s="209" t="s">
        <v>501</v>
      </c>
      <c r="C481" s="192" t="s">
        <v>260</v>
      </c>
      <c r="D481" s="113" t="s">
        <v>564</v>
      </c>
      <c r="E481" s="96" t="s">
        <v>565</v>
      </c>
      <c r="F481" s="114" t="s">
        <v>566</v>
      </c>
      <c r="G481" s="115" t="s">
        <v>243</v>
      </c>
      <c r="H481" s="177">
        <f>LEN(B481)-LEN(SUBSTITUTE(B481,",",""))+1</f>
        <v>1</v>
      </c>
      <c r="I481" s="185" t="s">
        <v>502</v>
      </c>
    </row>
    <row r="482" spans="1:9" s="53" customFormat="1" ht="30" customHeight="1">
      <c r="A482" s="204"/>
      <c r="B482" s="209"/>
      <c r="C482" s="192"/>
      <c r="D482" s="113" t="s">
        <v>800</v>
      </c>
      <c r="E482" s="96" t="s">
        <v>801</v>
      </c>
      <c r="F482" s="114" t="s">
        <v>802</v>
      </c>
      <c r="G482" s="115" t="s">
        <v>803</v>
      </c>
      <c r="H482" s="186"/>
      <c r="I482" s="185"/>
    </row>
    <row r="483" spans="1:9" s="53" customFormat="1" ht="30" customHeight="1">
      <c r="A483" s="203">
        <v>178</v>
      </c>
      <c r="B483" s="209" t="s">
        <v>947</v>
      </c>
      <c r="C483" s="192" t="s">
        <v>503</v>
      </c>
      <c r="D483" s="116" t="s">
        <v>1514</v>
      </c>
      <c r="E483" s="117" t="s">
        <v>1515</v>
      </c>
      <c r="F483" s="118" t="s">
        <v>1516</v>
      </c>
      <c r="G483" s="93" t="s">
        <v>1029</v>
      </c>
      <c r="H483" s="177">
        <f>LEN(B483)-LEN(SUBSTITUTE(B483,",",""))+1</f>
        <v>2</v>
      </c>
      <c r="I483" s="185" t="s">
        <v>502</v>
      </c>
    </row>
    <row r="484" spans="1:9" s="53" customFormat="1" ht="30" customHeight="1">
      <c r="A484" s="204"/>
      <c r="B484" s="209"/>
      <c r="C484" s="192"/>
      <c r="D484" s="119" t="s">
        <v>1517</v>
      </c>
      <c r="E484" s="120" t="s">
        <v>1518</v>
      </c>
      <c r="F484" s="120" t="s">
        <v>1519</v>
      </c>
      <c r="G484" s="93" t="s">
        <v>1520</v>
      </c>
      <c r="H484" s="186"/>
      <c r="I484" s="185"/>
    </row>
    <row r="485" spans="1:9" s="53" customFormat="1" ht="30" customHeight="1">
      <c r="A485" s="203">
        <v>179</v>
      </c>
      <c r="B485" s="209" t="s">
        <v>1405</v>
      </c>
      <c r="C485" s="192" t="s">
        <v>503</v>
      </c>
      <c r="D485" s="113" t="s">
        <v>1802</v>
      </c>
      <c r="E485" s="96" t="s">
        <v>688</v>
      </c>
      <c r="F485" s="114" t="s">
        <v>686</v>
      </c>
      <c r="G485" s="115" t="s">
        <v>687</v>
      </c>
      <c r="H485" s="177">
        <f>LEN(B485)-LEN(SUBSTITUTE(B485,",",""))+1</f>
        <v>4</v>
      </c>
      <c r="I485" s="185" t="s">
        <v>502</v>
      </c>
    </row>
    <row r="486" spans="1:9" s="53" customFormat="1" ht="30" customHeight="1">
      <c r="A486" s="204"/>
      <c r="B486" s="209"/>
      <c r="C486" s="192"/>
      <c r="D486" s="113" t="s">
        <v>728</v>
      </c>
      <c r="E486" s="96" t="s">
        <v>684</v>
      </c>
      <c r="F486" s="114" t="s">
        <v>689</v>
      </c>
      <c r="G486" s="115" t="s">
        <v>685</v>
      </c>
      <c r="H486" s="186"/>
      <c r="I486" s="185"/>
    </row>
    <row r="487" spans="1:9" s="53" customFormat="1" ht="30" customHeight="1">
      <c r="A487" s="203">
        <v>180</v>
      </c>
      <c r="B487" s="209" t="s">
        <v>1301</v>
      </c>
      <c r="C487" s="192" t="s">
        <v>503</v>
      </c>
      <c r="D487" s="116" t="s">
        <v>1803</v>
      </c>
      <c r="E487" s="117" t="s">
        <v>1521</v>
      </c>
      <c r="F487" s="118" t="s">
        <v>1522</v>
      </c>
      <c r="G487" s="93" t="s">
        <v>1029</v>
      </c>
      <c r="H487" s="177">
        <f>LEN(B487)-LEN(SUBSTITUTE(B487,",",""))+1</f>
        <v>2</v>
      </c>
      <c r="I487" s="185" t="s">
        <v>502</v>
      </c>
    </row>
    <row r="488" spans="1:9" s="53" customFormat="1" ht="30" customHeight="1">
      <c r="A488" s="204"/>
      <c r="B488" s="209"/>
      <c r="C488" s="192"/>
      <c r="D488" s="119" t="s">
        <v>1523</v>
      </c>
      <c r="E488" s="120" t="s">
        <v>1524</v>
      </c>
      <c r="F488" s="120" t="s">
        <v>1525</v>
      </c>
      <c r="G488" s="93" t="s">
        <v>1520</v>
      </c>
      <c r="H488" s="186"/>
      <c r="I488" s="185"/>
    </row>
    <row r="489" spans="1:9" s="53" customFormat="1" ht="30" customHeight="1">
      <c r="A489" s="203">
        <v>181</v>
      </c>
      <c r="B489" s="209" t="s">
        <v>1422</v>
      </c>
      <c r="C489" s="192" t="s">
        <v>503</v>
      </c>
      <c r="D489" s="113" t="s">
        <v>1804</v>
      </c>
      <c r="E489" s="96" t="s">
        <v>742</v>
      </c>
      <c r="F489" s="114" t="s">
        <v>743</v>
      </c>
      <c r="G489" s="115" t="s">
        <v>744</v>
      </c>
      <c r="H489" s="177">
        <f>LEN(B489)-LEN(SUBSTITUTE(B489,",",""))+1</f>
        <v>2</v>
      </c>
      <c r="I489" s="185" t="s">
        <v>502</v>
      </c>
    </row>
    <row r="490" spans="1:9" s="53" customFormat="1" ht="30" customHeight="1">
      <c r="A490" s="204"/>
      <c r="B490" s="209"/>
      <c r="C490" s="192"/>
      <c r="D490" s="113" t="s">
        <v>751</v>
      </c>
      <c r="E490" s="96" t="s">
        <v>1408</v>
      </c>
      <c r="F490" s="114" t="s">
        <v>877</v>
      </c>
      <c r="G490" s="115" t="s">
        <v>685</v>
      </c>
      <c r="H490" s="186"/>
      <c r="I490" s="185"/>
    </row>
    <row r="491" spans="1:9" s="53" customFormat="1" ht="30" customHeight="1">
      <c r="A491" s="203">
        <v>182</v>
      </c>
      <c r="B491" s="210" t="s">
        <v>1412</v>
      </c>
      <c r="C491" s="192" t="s">
        <v>503</v>
      </c>
      <c r="D491" s="113" t="s">
        <v>1805</v>
      </c>
      <c r="E491" s="121" t="s">
        <v>1406</v>
      </c>
      <c r="F491" s="122" t="s">
        <v>1407</v>
      </c>
      <c r="G491" s="123" t="s">
        <v>1029</v>
      </c>
      <c r="H491" s="177">
        <f>LEN(B491)-LEN(SUBSTITUTE(B491,",",""))+1</f>
        <v>2</v>
      </c>
      <c r="I491" s="185" t="s">
        <v>502</v>
      </c>
    </row>
    <row r="492" spans="1:9" s="53" customFormat="1" ht="30" customHeight="1">
      <c r="A492" s="204"/>
      <c r="B492" s="211"/>
      <c r="C492" s="192"/>
      <c r="D492" s="113" t="s">
        <v>1409</v>
      </c>
      <c r="E492" s="121" t="s">
        <v>1410</v>
      </c>
      <c r="F492" s="122" t="s">
        <v>1411</v>
      </c>
      <c r="G492" s="123" t="s">
        <v>685</v>
      </c>
      <c r="H492" s="186"/>
      <c r="I492" s="185"/>
    </row>
    <row r="493" spans="1:9" s="53" customFormat="1" ht="30" customHeight="1">
      <c r="A493" s="203">
        <v>183</v>
      </c>
      <c r="B493" s="209" t="s">
        <v>1570</v>
      </c>
      <c r="C493" s="185" t="s">
        <v>206</v>
      </c>
      <c r="D493" s="80" t="s">
        <v>1806</v>
      </c>
      <c r="E493" s="106" t="s">
        <v>780</v>
      </c>
      <c r="F493" s="106" t="s">
        <v>781</v>
      </c>
      <c r="G493" s="83" t="s">
        <v>782</v>
      </c>
      <c r="H493" s="177">
        <f>LEN(B493)-LEN(SUBSTITUTE(B493,",",""))+1</f>
        <v>1</v>
      </c>
      <c r="I493" s="185" t="s">
        <v>779</v>
      </c>
    </row>
    <row r="494" spans="1:9" s="53" customFormat="1" ht="30" customHeight="1">
      <c r="A494" s="204"/>
      <c r="B494" s="209"/>
      <c r="C494" s="185"/>
      <c r="D494" s="90" t="s">
        <v>791</v>
      </c>
      <c r="E494" s="91" t="s">
        <v>783</v>
      </c>
      <c r="F494" s="91" t="s">
        <v>781</v>
      </c>
      <c r="G494" s="92" t="s">
        <v>784</v>
      </c>
      <c r="H494" s="186"/>
      <c r="I494" s="185"/>
    </row>
    <row r="495" spans="1:9" s="53" customFormat="1" ht="30" customHeight="1">
      <c r="A495" s="203">
        <v>184</v>
      </c>
      <c r="B495" s="209" t="s">
        <v>1571</v>
      </c>
      <c r="C495" s="185" t="s">
        <v>206</v>
      </c>
      <c r="D495" s="80" t="s">
        <v>1807</v>
      </c>
      <c r="E495" s="81" t="s">
        <v>1276</v>
      </c>
      <c r="F495" s="81" t="s">
        <v>1277</v>
      </c>
      <c r="G495" s="74" t="s">
        <v>1278</v>
      </c>
      <c r="H495" s="177">
        <f>LEN(B495)-LEN(SUBSTITUTE(B495,",",""))+1</f>
        <v>7</v>
      </c>
      <c r="I495" s="185" t="s">
        <v>779</v>
      </c>
    </row>
    <row r="496" spans="1:9" s="53" customFormat="1" ht="30" customHeight="1">
      <c r="A496" s="204"/>
      <c r="B496" s="209"/>
      <c r="C496" s="185"/>
      <c r="D496" s="80" t="s">
        <v>1279</v>
      </c>
      <c r="E496" s="81" t="s">
        <v>785</v>
      </c>
      <c r="F496" s="81" t="s">
        <v>1277</v>
      </c>
      <c r="G496" s="74" t="s">
        <v>1709</v>
      </c>
      <c r="H496" s="186"/>
      <c r="I496" s="185"/>
    </row>
    <row r="497" spans="1:9" s="53" customFormat="1" ht="30" customHeight="1">
      <c r="A497" s="203">
        <v>185</v>
      </c>
      <c r="B497" s="209" t="s">
        <v>1342</v>
      </c>
      <c r="C497" s="192" t="s">
        <v>505</v>
      </c>
      <c r="D497" s="113" t="s">
        <v>1808</v>
      </c>
      <c r="E497" s="96" t="s">
        <v>506</v>
      </c>
      <c r="F497" s="76" t="s">
        <v>507</v>
      </c>
      <c r="G497" s="74" t="s">
        <v>508</v>
      </c>
      <c r="H497" s="177">
        <f>LEN(B497)-LEN(SUBSTITUTE(B497,",",""))+1</f>
        <v>2</v>
      </c>
      <c r="I497" s="185" t="s">
        <v>171</v>
      </c>
    </row>
    <row r="498" spans="1:9" s="53" customFormat="1" ht="30" customHeight="1">
      <c r="A498" s="204"/>
      <c r="B498" s="209"/>
      <c r="C498" s="192"/>
      <c r="D498" s="113" t="s">
        <v>509</v>
      </c>
      <c r="E498" s="96" t="s">
        <v>506</v>
      </c>
      <c r="F498" s="76" t="s">
        <v>510</v>
      </c>
      <c r="G498" s="74" t="s">
        <v>511</v>
      </c>
      <c r="H498" s="186"/>
      <c r="I498" s="185"/>
    </row>
    <row r="499" spans="1:9" ht="30" customHeight="1">
      <c r="A499" s="205">
        <v>186</v>
      </c>
      <c r="B499" s="174" t="s">
        <v>512</v>
      </c>
      <c r="C499" s="179" t="s">
        <v>513</v>
      </c>
      <c r="D499" s="60" t="s">
        <v>993</v>
      </c>
      <c r="E499" s="14" t="s">
        <v>514</v>
      </c>
      <c r="F499" s="15" t="s">
        <v>515</v>
      </c>
      <c r="G499" s="63" t="s">
        <v>214</v>
      </c>
      <c r="H499" s="167">
        <f>LEN(B499)-LEN(SUBSTITUTE(B499,",",""))+1</f>
        <v>1</v>
      </c>
      <c r="I499" s="158" t="s">
        <v>171</v>
      </c>
    </row>
    <row r="500" spans="1:9" ht="30" customHeight="1">
      <c r="A500" s="206"/>
      <c r="B500" s="174"/>
      <c r="C500" s="179"/>
      <c r="D500" s="60" t="s">
        <v>516</v>
      </c>
      <c r="E500" s="14" t="s">
        <v>517</v>
      </c>
      <c r="F500" s="15" t="s">
        <v>12</v>
      </c>
      <c r="G500" s="60" t="s">
        <v>10</v>
      </c>
      <c r="H500" s="171"/>
      <c r="I500" s="160"/>
    </row>
    <row r="501" spans="1:9" ht="30" customHeight="1">
      <c r="A501" s="205">
        <v>187</v>
      </c>
      <c r="B501" s="164" t="s">
        <v>645</v>
      </c>
      <c r="C501" s="180" t="s">
        <v>526</v>
      </c>
      <c r="D501" s="9" t="s">
        <v>1809</v>
      </c>
      <c r="E501" s="8" t="s">
        <v>1292</v>
      </c>
      <c r="F501" s="8" t="s">
        <v>1291</v>
      </c>
      <c r="G501" s="9" t="s">
        <v>1289</v>
      </c>
      <c r="H501" s="167">
        <f>LEN(B501)-LEN(SUBSTITUTE(B501,",",""))+1</f>
        <v>3</v>
      </c>
      <c r="I501" s="158" t="s">
        <v>171</v>
      </c>
    </row>
    <row r="502" spans="1:9" ht="30" customHeight="1">
      <c r="A502" s="206"/>
      <c r="B502" s="165"/>
      <c r="C502" s="181"/>
      <c r="D502" s="9" t="s">
        <v>1290</v>
      </c>
      <c r="E502" s="39" t="s">
        <v>865</v>
      </c>
      <c r="F502" s="39" t="s">
        <v>864</v>
      </c>
      <c r="G502" s="38" t="s">
        <v>10</v>
      </c>
      <c r="H502" s="171"/>
      <c r="I502" s="160"/>
    </row>
    <row r="503" spans="1:9" ht="30" customHeight="1">
      <c r="A503" s="205">
        <v>188</v>
      </c>
      <c r="B503" s="174" t="s">
        <v>945</v>
      </c>
      <c r="C503" s="173" t="s">
        <v>504</v>
      </c>
      <c r="D503" s="60" t="s">
        <v>792</v>
      </c>
      <c r="E503" s="14" t="s">
        <v>775</v>
      </c>
      <c r="F503" s="15" t="s">
        <v>776</v>
      </c>
      <c r="G503" s="63" t="s">
        <v>18</v>
      </c>
      <c r="H503" s="167">
        <f>LEN(B503)-LEN(SUBSTITUTE(B503,",",""))+1</f>
        <v>4</v>
      </c>
      <c r="I503" s="169" t="s">
        <v>171</v>
      </c>
    </row>
    <row r="504" spans="1:9" ht="30" customHeight="1">
      <c r="A504" s="206"/>
      <c r="B504" s="174"/>
      <c r="C504" s="173"/>
      <c r="D504" s="60" t="s">
        <v>793</v>
      </c>
      <c r="E504" s="14" t="s">
        <v>777</v>
      </c>
      <c r="F504" s="15" t="s">
        <v>778</v>
      </c>
      <c r="G504" s="63" t="s">
        <v>19</v>
      </c>
      <c r="H504" s="171"/>
      <c r="I504" s="169"/>
    </row>
    <row r="505" spans="1:9" ht="30" customHeight="1">
      <c r="A505" s="205">
        <v>189</v>
      </c>
      <c r="B505" s="174" t="s">
        <v>943</v>
      </c>
      <c r="C505" s="207" t="s">
        <v>504</v>
      </c>
      <c r="D505" s="60" t="s">
        <v>1708</v>
      </c>
      <c r="E505" s="14" t="s">
        <v>518</v>
      </c>
      <c r="F505" s="15" t="s">
        <v>17</v>
      </c>
      <c r="G505" s="63" t="s">
        <v>18</v>
      </c>
      <c r="H505" s="167">
        <f>LEN(B505)-LEN(SUBSTITUTE(B505,",",""))+1</f>
        <v>3</v>
      </c>
      <c r="I505" s="158" t="s">
        <v>171</v>
      </c>
    </row>
    <row r="506" spans="1:9" ht="30" customHeight="1">
      <c r="A506" s="206"/>
      <c r="B506" s="174"/>
      <c r="C506" s="208"/>
      <c r="D506" s="60" t="s">
        <v>519</v>
      </c>
      <c r="E506" s="14" t="s">
        <v>520</v>
      </c>
      <c r="F506" s="15" t="s">
        <v>17</v>
      </c>
      <c r="G506" s="63" t="s">
        <v>19</v>
      </c>
      <c r="H506" s="171"/>
      <c r="I506" s="160"/>
    </row>
    <row r="507" spans="1:9" ht="30" customHeight="1">
      <c r="A507" s="205">
        <v>190</v>
      </c>
      <c r="B507" s="164" t="s">
        <v>944</v>
      </c>
      <c r="C507" s="207" t="s">
        <v>504</v>
      </c>
      <c r="D507" s="60" t="s">
        <v>1810</v>
      </c>
      <c r="E507" s="14" t="s">
        <v>875</v>
      </c>
      <c r="F507" s="15" t="s">
        <v>876</v>
      </c>
      <c r="G507" s="63" t="s">
        <v>19</v>
      </c>
      <c r="H507" s="167">
        <f>LEN(B507)-LEN(SUBSTITUTE(B507,",",""))+1</f>
        <v>3</v>
      </c>
      <c r="I507" s="169" t="s">
        <v>171</v>
      </c>
    </row>
    <row r="508" spans="1:9" ht="30" customHeight="1">
      <c r="A508" s="206"/>
      <c r="B508" s="166"/>
      <c r="C508" s="208"/>
      <c r="D508" s="60" t="s">
        <v>878</v>
      </c>
      <c r="E508" s="14" t="s">
        <v>879</v>
      </c>
      <c r="F508" s="15" t="s">
        <v>880</v>
      </c>
      <c r="G508" s="63" t="s">
        <v>18</v>
      </c>
      <c r="H508" s="171"/>
      <c r="I508" s="169"/>
    </row>
    <row r="509" spans="1:9" ht="30" customHeight="1">
      <c r="A509" s="205">
        <v>191</v>
      </c>
      <c r="B509" s="164" t="s">
        <v>1977</v>
      </c>
      <c r="C509" s="187" t="s">
        <v>521</v>
      </c>
      <c r="D509" s="65" t="s">
        <v>1811</v>
      </c>
      <c r="E509" s="2" t="s">
        <v>522</v>
      </c>
      <c r="F509" s="61" t="s">
        <v>24</v>
      </c>
      <c r="G509" s="62" t="s">
        <v>25</v>
      </c>
      <c r="H509" s="167">
        <f>LEN(B509)-LEN(SUBSTITUTE(B509,",",""))+1</f>
        <v>2</v>
      </c>
      <c r="I509" s="169" t="s">
        <v>171</v>
      </c>
    </row>
    <row r="510" spans="1:9" ht="30" customHeight="1">
      <c r="A510" s="206"/>
      <c r="B510" s="166"/>
      <c r="C510" s="187"/>
      <c r="D510" s="65" t="s">
        <v>523</v>
      </c>
      <c r="E510" s="2" t="s">
        <v>524</v>
      </c>
      <c r="F510" s="61" t="s">
        <v>26</v>
      </c>
      <c r="G510" s="62" t="s">
        <v>10</v>
      </c>
      <c r="H510" s="171"/>
      <c r="I510" s="169"/>
    </row>
    <row r="511" spans="1:9" ht="60" customHeight="1">
      <c r="A511" s="205">
        <v>192</v>
      </c>
      <c r="B511" s="164" t="s">
        <v>1951</v>
      </c>
      <c r="C511" s="187" t="s">
        <v>704</v>
      </c>
      <c r="D511" s="134" t="s">
        <v>1950</v>
      </c>
      <c r="E511" s="2" t="s">
        <v>705</v>
      </c>
      <c r="F511" s="132" t="s">
        <v>706</v>
      </c>
      <c r="G511" s="133" t="s">
        <v>707</v>
      </c>
      <c r="H511" s="167">
        <f>LEN(B511)-LEN(SUBSTITUTE(B511,",",""))+1</f>
        <v>63</v>
      </c>
      <c r="I511" s="169" t="s">
        <v>708</v>
      </c>
    </row>
    <row r="512" spans="1:9" ht="113.25" customHeight="1">
      <c r="A512" s="206"/>
      <c r="B512" s="166"/>
      <c r="C512" s="187"/>
      <c r="D512" s="134" t="s">
        <v>709</v>
      </c>
      <c r="E512" s="2" t="s">
        <v>710</v>
      </c>
      <c r="F512" s="132" t="s">
        <v>711</v>
      </c>
      <c r="G512" s="133" t="s">
        <v>712</v>
      </c>
      <c r="H512" s="171"/>
      <c r="I512" s="169"/>
    </row>
    <row r="513" spans="1:12" ht="60" customHeight="1">
      <c r="A513" s="205">
        <v>192</v>
      </c>
      <c r="B513" s="164" t="s">
        <v>1953</v>
      </c>
      <c r="C513" s="187" t="s">
        <v>704</v>
      </c>
      <c r="D513" s="70" t="s">
        <v>1952</v>
      </c>
      <c r="E513" s="135" t="s">
        <v>1942</v>
      </c>
      <c r="F513" s="58" t="s">
        <v>1943</v>
      </c>
      <c r="G513" s="70" t="s">
        <v>1944</v>
      </c>
      <c r="H513" s="167">
        <f>LEN(B513)-LEN(SUBSTITUTE(B513,",",""))+1</f>
        <v>18</v>
      </c>
      <c r="I513" s="169" t="s">
        <v>171</v>
      </c>
    </row>
    <row r="514" spans="1:12" ht="113.25" customHeight="1">
      <c r="A514" s="206"/>
      <c r="B514" s="166"/>
      <c r="C514" s="187"/>
      <c r="D514" s="70" t="s">
        <v>1954</v>
      </c>
      <c r="E514" s="135" t="s">
        <v>1945</v>
      </c>
      <c r="F514" s="58" t="s">
        <v>1946</v>
      </c>
      <c r="G514" s="70" t="s">
        <v>1947</v>
      </c>
      <c r="H514" s="171"/>
      <c r="I514" s="169"/>
    </row>
    <row r="515" spans="1:12" ht="30" customHeight="1">
      <c r="A515" s="205">
        <v>193</v>
      </c>
      <c r="B515" s="215" t="s">
        <v>1707</v>
      </c>
      <c r="C515" s="217" t="s">
        <v>713</v>
      </c>
      <c r="D515" s="9" t="s">
        <v>1847</v>
      </c>
      <c r="E515" s="8" t="s">
        <v>1555</v>
      </c>
      <c r="F515" s="8" t="s">
        <v>1631</v>
      </c>
      <c r="G515" s="9" t="s">
        <v>558</v>
      </c>
      <c r="H515" s="167">
        <f>LEN(B515)-LEN(SUBSTITUTE(B515,",",""))+1</f>
        <v>6</v>
      </c>
      <c r="I515" s="158" t="s">
        <v>525</v>
      </c>
    </row>
    <row r="516" spans="1:12" ht="30" customHeight="1">
      <c r="A516" s="206"/>
      <c r="B516" s="216"/>
      <c r="C516" s="218"/>
      <c r="D516" s="9" t="s">
        <v>1557</v>
      </c>
      <c r="E516" s="8" t="s">
        <v>1555</v>
      </c>
      <c r="F516" s="8" t="s">
        <v>1556</v>
      </c>
      <c r="G516" s="21" t="s">
        <v>1038</v>
      </c>
      <c r="H516" s="171"/>
      <c r="I516" s="160"/>
    </row>
    <row r="517" spans="1:12" ht="30" customHeight="1">
      <c r="A517" s="205">
        <v>194</v>
      </c>
      <c r="B517" s="167" t="s">
        <v>1948</v>
      </c>
      <c r="C517" s="167" t="s">
        <v>1969</v>
      </c>
      <c r="D517" s="134" t="s">
        <v>1848</v>
      </c>
      <c r="E517" s="2" t="s">
        <v>1273</v>
      </c>
      <c r="F517" s="132" t="s">
        <v>560</v>
      </c>
      <c r="G517" s="133" t="s">
        <v>558</v>
      </c>
      <c r="H517" s="167">
        <f>LEN(B517)-LEN(SUBSTITUTE(B517,",",""))+1</f>
        <v>71</v>
      </c>
      <c r="I517" s="158" t="s">
        <v>559</v>
      </c>
      <c r="J517" s="153"/>
      <c r="K517" s="154"/>
      <c r="L517" s="154"/>
    </row>
    <row r="518" spans="1:12" ht="77.25" customHeight="1">
      <c r="A518" s="206"/>
      <c r="B518" s="171"/>
      <c r="C518" s="171"/>
      <c r="D518" s="9"/>
      <c r="E518" s="8"/>
      <c r="F518" s="8"/>
      <c r="G518" s="9"/>
      <c r="H518" s="171"/>
      <c r="I518" s="160"/>
      <c r="J518" s="153"/>
      <c r="K518" s="154"/>
      <c r="L518" s="154"/>
    </row>
    <row r="519" spans="1:12" ht="30" customHeight="1">
      <c r="A519" s="205">
        <v>195</v>
      </c>
      <c r="B519" s="164" t="s">
        <v>1949</v>
      </c>
      <c r="C519" s="167" t="s">
        <v>557</v>
      </c>
      <c r="D519" s="134" t="s">
        <v>1849</v>
      </c>
      <c r="E519" s="2" t="s">
        <v>561</v>
      </c>
      <c r="F519" s="132" t="s">
        <v>562</v>
      </c>
      <c r="G519" s="133" t="s">
        <v>558</v>
      </c>
      <c r="H519" s="167">
        <f>LEN(B519)-LEN(SUBSTITUTE(B519,",",""))+1</f>
        <v>10</v>
      </c>
      <c r="I519" s="158" t="s">
        <v>563</v>
      </c>
      <c r="J519" s="153"/>
      <c r="K519" s="154"/>
      <c r="L519" s="154"/>
    </row>
    <row r="520" spans="1:12" ht="30" customHeight="1">
      <c r="A520" s="206"/>
      <c r="B520" s="166"/>
      <c r="C520" s="171"/>
      <c r="D520" s="134"/>
      <c r="E520" s="2"/>
      <c r="F520" s="132"/>
      <c r="G520" s="133"/>
      <c r="H520" s="171"/>
      <c r="I520" s="160"/>
      <c r="J520" s="153"/>
      <c r="K520" s="154"/>
      <c r="L520" s="154"/>
    </row>
    <row r="521" spans="1:12" ht="30" customHeight="1">
      <c r="A521" s="205">
        <v>196</v>
      </c>
      <c r="B521" s="174" t="s">
        <v>756</v>
      </c>
      <c r="C521" s="187" t="s">
        <v>210</v>
      </c>
      <c r="D521" s="9" t="s">
        <v>1704</v>
      </c>
      <c r="E521" s="8" t="s">
        <v>1706</v>
      </c>
      <c r="F521" s="8" t="s">
        <v>1705</v>
      </c>
      <c r="G521" s="9" t="s">
        <v>1967</v>
      </c>
      <c r="H521" s="167">
        <f>LEN(B521)-LEN(SUBSTITUTE(B521,",",""))+1</f>
        <v>1</v>
      </c>
      <c r="I521" s="169" t="s">
        <v>525</v>
      </c>
    </row>
    <row r="522" spans="1:12" ht="30" customHeight="1">
      <c r="A522" s="206"/>
      <c r="B522" s="174"/>
      <c r="C522" s="187"/>
      <c r="D522" s="9" t="s">
        <v>1704</v>
      </c>
      <c r="E522" s="8" t="s">
        <v>1706</v>
      </c>
      <c r="F522" s="8" t="s">
        <v>1705</v>
      </c>
      <c r="G522" s="62" t="s">
        <v>1968</v>
      </c>
      <c r="H522" s="168"/>
      <c r="I522" s="169"/>
    </row>
    <row r="523" spans="1:12" ht="30" customHeight="1">
      <c r="A523" s="205">
        <v>197</v>
      </c>
      <c r="B523" s="164" t="s">
        <v>1978</v>
      </c>
      <c r="C523" s="214" t="s">
        <v>172</v>
      </c>
      <c r="D523" s="68"/>
      <c r="E523" s="16"/>
      <c r="F523" s="17"/>
      <c r="G523" s="68"/>
      <c r="H523" s="167">
        <f>LEN(B523)-LEN(SUBSTITUTE(B523,",",""))+1</f>
        <v>50</v>
      </c>
      <c r="I523" s="214"/>
    </row>
    <row r="524" spans="1:12" ht="57" customHeight="1">
      <c r="A524" s="206"/>
      <c r="B524" s="166"/>
      <c r="C524" s="214"/>
      <c r="D524" s="68"/>
      <c r="E524" s="16"/>
      <c r="F524" s="17"/>
      <c r="G524" s="68"/>
      <c r="H524" s="171"/>
      <c r="I524" s="214"/>
    </row>
    <row r="525" spans="1:12" ht="30" customHeight="1">
      <c r="E525" s="47"/>
    </row>
    <row r="527" spans="1:12" ht="30" customHeight="1">
      <c r="A527" s="3"/>
      <c r="B527" s="13"/>
      <c r="C527" s="3"/>
      <c r="D527" s="3"/>
      <c r="E527" s="3"/>
      <c r="F527" s="3"/>
      <c r="G527" s="3"/>
      <c r="H527" s="3"/>
      <c r="I527" s="3"/>
    </row>
    <row r="528" spans="1:12" ht="30" customHeight="1">
      <c r="A528" s="3"/>
      <c r="B528" s="13"/>
      <c r="C528" s="3"/>
      <c r="D528" s="3"/>
      <c r="E528" s="3"/>
      <c r="F528" s="3"/>
      <c r="G528" s="3"/>
      <c r="H528" s="3"/>
      <c r="I528" s="3"/>
    </row>
    <row r="529" spans="1:9" ht="30" customHeight="1">
      <c r="A529" s="3"/>
      <c r="B529" s="13"/>
      <c r="C529" s="3"/>
      <c r="D529" s="3"/>
      <c r="E529" s="3"/>
      <c r="F529" s="3"/>
      <c r="G529" s="3"/>
      <c r="H529" s="3"/>
      <c r="I529" s="3"/>
    </row>
    <row r="530" spans="1:9" ht="30" customHeight="1">
      <c r="A530" s="3"/>
      <c r="B530" s="13"/>
      <c r="C530" s="3"/>
      <c r="D530" s="3"/>
      <c r="E530" s="3"/>
      <c r="F530" s="3"/>
      <c r="G530" s="3"/>
      <c r="H530" s="3"/>
      <c r="I530" s="3"/>
    </row>
    <row r="531" spans="1:9" ht="30" customHeight="1">
      <c r="A531" s="3"/>
      <c r="B531" s="13"/>
      <c r="C531" s="3"/>
      <c r="D531" s="3"/>
      <c r="E531" s="3"/>
      <c r="F531" s="3"/>
      <c r="G531" s="3"/>
      <c r="H531" s="3"/>
      <c r="I531" s="3"/>
    </row>
    <row r="532" spans="1:9" ht="30" customHeight="1">
      <c r="A532" s="3"/>
      <c r="B532" s="13"/>
      <c r="C532" s="3"/>
      <c r="D532" s="3"/>
      <c r="E532" s="3"/>
      <c r="F532" s="3"/>
      <c r="G532" s="3"/>
      <c r="H532" s="3"/>
      <c r="I532" s="3"/>
    </row>
    <row r="533" spans="1:9" ht="30" customHeight="1">
      <c r="A533" s="3"/>
      <c r="B533" s="13"/>
      <c r="C533" s="3"/>
      <c r="D533" s="3"/>
      <c r="E533" s="3"/>
      <c r="F533" s="3"/>
      <c r="G533" s="3"/>
      <c r="H533" s="3"/>
      <c r="I533" s="3"/>
    </row>
    <row r="534" spans="1:9" ht="30" customHeight="1">
      <c r="A534" s="3"/>
      <c r="B534" s="13"/>
      <c r="C534" s="3"/>
      <c r="D534" s="3"/>
      <c r="E534" s="3"/>
      <c r="F534" s="3"/>
      <c r="G534" s="3"/>
      <c r="H534" s="3"/>
      <c r="I534" s="3"/>
    </row>
    <row r="535" spans="1:9" ht="30" customHeight="1">
      <c r="A535" s="3"/>
      <c r="B535" s="13"/>
      <c r="C535" s="3"/>
      <c r="D535" s="3"/>
      <c r="E535" s="3"/>
      <c r="F535" s="3"/>
      <c r="G535" s="3"/>
      <c r="H535" s="3"/>
      <c r="I535" s="3"/>
    </row>
    <row r="536" spans="1:9" ht="30" customHeight="1">
      <c r="A536" s="3"/>
      <c r="B536" s="13"/>
      <c r="C536" s="3"/>
      <c r="D536" s="3"/>
      <c r="E536" s="3"/>
      <c r="F536" s="3"/>
      <c r="G536" s="3"/>
      <c r="H536" s="3"/>
      <c r="I536" s="3"/>
    </row>
    <row r="537" spans="1:9" ht="30" customHeight="1">
      <c r="A537" s="3"/>
      <c r="B537" s="13"/>
      <c r="C537" s="3"/>
      <c r="D537" s="3"/>
      <c r="E537" s="3"/>
      <c r="F537" s="3"/>
      <c r="G537" s="3"/>
      <c r="H537" s="3"/>
      <c r="I537" s="3"/>
    </row>
    <row r="538" spans="1:9" ht="30" customHeight="1">
      <c r="A538" s="3"/>
      <c r="B538" s="13"/>
      <c r="C538" s="3"/>
      <c r="D538" s="3"/>
      <c r="E538" s="3"/>
      <c r="F538" s="3"/>
      <c r="G538" s="3"/>
      <c r="H538" s="3"/>
      <c r="I538" s="3"/>
    </row>
    <row r="539" spans="1:9" ht="30" customHeight="1">
      <c r="A539" s="3"/>
      <c r="B539" s="13"/>
      <c r="C539" s="3"/>
      <c r="D539" s="3"/>
      <c r="E539" s="3"/>
      <c r="F539" s="3"/>
      <c r="G539" s="3"/>
      <c r="H539" s="3"/>
      <c r="I539" s="3"/>
    </row>
    <row r="540" spans="1:9" ht="30" customHeight="1">
      <c r="A540" s="3"/>
      <c r="B540" s="13"/>
      <c r="C540" s="3"/>
      <c r="D540" s="3"/>
      <c r="E540" s="3"/>
      <c r="F540" s="3"/>
      <c r="G540" s="3"/>
      <c r="H540" s="3"/>
      <c r="I540" s="3"/>
    </row>
    <row r="541" spans="1:9" ht="30" customHeight="1">
      <c r="A541" s="3"/>
      <c r="B541" s="13"/>
      <c r="C541" s="3"/>
      <c r="D541" s="3"/>
      <c r="E541" s="3"/>
      <c r="F541" s="3"/>
      <c r="G541" s="3"/>
      <c r="H541" s="3"/>
      <c r="I541" s="3"/>
    </row>
    <row r="542" spans="1:9" ht="30" customHeight="1">
      <c r="A542" s="3"/>
      <c r="B542" s="13"/>
      <c r="C542" s="3"/>
      <c r="D542" s="3"/>
      <c r="E542" s="3"/>
      <c r="F542" s="3"/>
      <c r="G542" s="3"/>
      <c r="H542" s="3"/>
      <c r="I542" s="3"/>
    </row>
    <row r="543" spans="1:9" ht="30" customHeight="1">
      <c r="A543" s="3"/>
      <c r="B543" s="13"/>
      <c r="C543" s="3"/>
      <c r="D543" s="3"/>
      <c r="E543" s="3"/>
      <c r="F543" s="3"/>
      <c r="G543" s="3"/>
      <c r="H543" s="3"/>
      <c r="I543" s="3"/>
    </row>
    <row r="544" spans="1:9" ht="30" customHeight="1">
      <c r="A544" s="3"/>
      <c r="B544" s="13"/>
      <c r="C544" s="3"/>
      <c r="D544" s="3"/>
      <c r="E544" s="3"/>
      <c r="F544" s="3"/>
      <c r="G544" s="3"/>
      <c r="H544" s="3"/>
      <c r="I544" s="3"/>
    </row>
    <row r="545" spans="1:9" ht="30" customHeight="1">
      <c r="A545" s="3"/>
      <c r="B545" s="13"/>
      <c r="C545" s="3"/>
      <c r="D545" s="3"/>
      <c r="E545" s="3"/>
      <c r="F545" s="3"/>
      <c r="G545" s="3"/>
      <c r="H545" s="3"/>
      <c r="I545" s="3"/>
    </row>
    <row r="546" spans="1:9" ht="30" customHeight="1">
      <c r="A546" s="3"/>
      <c r="B546" s="13"/>
      <c r="C546" s="3"/>
      <c r="D546" s="3"/>
      <c r="E546" s="3"/>
      <c r="F546" s="3"/>
      <c r="G546" s="3"/>
      <c r="H546" s="3"/>
      <c r="I546" s="3"/>
    </row>
    <row r="547" spans="1:9" ht="30" customHeight="1">
      <c r="A547" s="3"/>
      <c r="B547" s="13"/>
      <c r="C547" s="3"/>
      <c r="D547" s="3"/>
      <c r="E547" s="3"/>
      <c r="F547" s="3"/>
      <c r="G547" s="3"/>
      <c r="H547" s="3"/>
      <c r="I547" s="3"/>
    </row>
    <row r="548" spans="1:9" ht="30" customHeight="1">
      <c r="A548" s="3"/>
      <c r="B548" s="13"/>
      <c r="C548" s="3"/>
      <c r="D548" s="3"/>
      <c r="E548" s="3"/>
      <c r="F548" s="3"/>
      <c r="G548" s="3"/>
      <c r="H548" s="3"/>
      <c r="I548" s="3"/>
    </row>
    <row r="549" spans="1:9" ht="30" customHeight="1">
      <c r="A549" s="3"/>
      <c r="B549" s="13"/>
      <c r="C549" s="3"/>
      <c r="D549" s="3"/>
      <c r="E549" s="3"/>
      <c r="F549" s="3"/>
      <c r="G549" s="3"/>
      <c r="H549" s="3"/>
      <c r="I549" s="3"/>
    </row>
  </sheetData>
  <autoFilter ref="A7:I524"/>
  <sortState ref="D462:G463">
    <sortCondition ref="G461" customList="YAGEO,TA-I,VIKING"/>
  </sortState>
  <mergeCells count="1044">
    <mergeCell ref="A186:A187"/>
    <mergeCell ref="B186:B187"/>
    <mergeCell ref="C186:C187"/>
    <mergeCell ref="H186:H187"/>
    <mergeCell ref="I186:I187"/>
    <mergeCell ref="A319:A321"/>
    <mergeCell ref="B310:B312"/>
    <mergeCell ref="C262:C264"/>
    <mergeCell ref="C286:C288"/>
    <mergeCell ref="C271:C273"/>
    <mergeCell ref="C301:C303"/>
    <mergeCell ref="C280:C282"/>
    <mergeCell ref="C259:C261"/>
    <mergeCell ref="B250:B252"/>
    <mergeCell ref="B307:B309"/>
    <mergeCell ref="B283:B285"/>
    <mergeCell ref="C244:C246"/>
    <mergeCell ref="A313:A315"/>
    <mergeCell ref="B274:B276"/>
    <mergeCell ref="B301:B303"/>
    <mergeCell ref="B304:B306"/>
    <mergeCell ref="A304:A306"/>
    <mergeCell ref="B271:B273"/>
    <mergeCell ref="A286:A288"/>
    <mergeCell ref="A265:A267"/>
    <mergeCell ref="B265:B267"/>
    <mergeCell ref="B313:B315"/>
    <mergeCell ref="A301:A303"/>
    <mergeCell ref="A307:A309"/>
    <mergeCell ref="A259:A261"/>
    <mergeCell ref="B316:B318"/>
    <mergeCell ref="A316:A318"/>
    <mergeCell ref="B253:B255"/>
    <mergeCell ref="C250:C252"/>
    <mergeCell ref="A298:A300"/>
    <mergeCell ref="A310:A312"/>
    <mergeCell ref="B205:B207"/>
    <mergeCell ref="A205:A207"/>
    <mergeCell ref="B220:B222"/>
    <mergeCell ref="A226:A228"/>
    <mergeCell ref="C211:C213"/>
    <mergeCell ref="A292:A294"/>
    <mergeCell ref="B295:B297"/>
    <mergeCell ref="B292:B294"/>
    <mergeCell ref="C295:C297"/>
    <mergeCell ref="C247:C249"/>
    <mergeCell ref="B262:B264"/>
    <mergeCell ref="B232:B234"/>
    <mergeCell ref="A238:A240"/>
    <mergeCell ref="B238:B240"/>
    <mergeCell ref="B244:B246"/>
    <mergeCell ref="A241:A243"/>
    <mergeCell ref="A235:A237"/>
    <mergeCell ref="B259:B261"/>
    <mergeCell ref="A268:A270"/>
    <mergeCell ref="C229:C231"/>
    <mergeCell ref="C170:C171"/>
    <mergeCell ref="C184:C185"/>
    <mergeCell ref="A217:A219"/>
    <mergeCell ref="C328:C330"/>
    <mergeCell ref="A322:A324"/>
    <mergeCell ref="B322:B324"/>
    <mergeCell ref="B199:B201"/>
    <mergeCell ref="A232:A234"/>
    <mergeCell ref="B229:B231"/>
    <mergeCell ref="A211:A213"/>
    <mergeCell ref="A214:A216"/>
    <mergeCell ref="A188:A189"/>
    <mergeCell ref="A208:A210"/>
    <mergeCell ref="C208:C210"/>
    <mergeCell ref="A289:A291"/>
    <mergeCell ref="A280:A282"/>
    <mergeCell ref="A283:A285"/>
    <mergeCell ref="B289:B291"/>
    <mergeCell ref="B280:B282"/>
    <mergeCell ref="B286:B288"/>
    <mergeCell ref="C274:C276"/>
    <mergeCell ref="A328:A330"/>
    <mergeCell ref="B277:B279"/>
    <mergeCell ref="B268:B270"/>
    <mergeCell ref="C304:C306"/>
    <mergeCell ref="C188:C189"/>
    <mergeCell ref="B208:B210"/>
    <mergeCell ref="A199:A201"/>
    <mergeCell ref="A190:A192"/>
    <mergeCell ref="C319:C321"/>
    <mergeCell ref="A295:A297"/>
    <mergeCell ref="A274:A276"/>
    <mergeCell ref="H259:H261"/>
    <mergeCell ref="B214:B216"/>
    <mergeCell ref="A247:A249"/>
    <mergeCell ref="B247:B249"/>
    <mergeCell ref="A229:A231"/>
    <mergeCell ref="B241:B243"/>
    <mergeCell ref="B256:B258"/>
    <mergeCell ref="B235:B237"/>
    <mergeCell ref="C220:C222"/>
    <mergeCell ref="H256:H258"/>
    <mergeCell ref="H289:H291"/>
    <mergeCell ref="C223:C225"/>
    <mergeCell ref="H190:H192"/>
    <mergeCell ref="A196:A198"/>
    <mergeCell ref="H214:H216"/>
    <mergeCell ref="H211:H213"/>
    <mergeCell ref="A220:A222"/>
    <mergeCell ref="A223:A225"/>
    <mergeCell ref="B226:B228"/>
    <mergeCell ref="C256:C258"/>
    <mergeCell ref="A253:A255"/>
    <mergeCell ref="C226:C228"/>
    <mergeCell ref="B211:B213"/>
    <mergeCell ref="H247:H249"/>
    <mergeCell ref="H223:H225"/>
    <mergeCell ref="A262:A264"/>
    <mergeCell ref="A250:A252"/>
    <mergeCell ref="A256:A258"/>
    <mergeCell ref="C253:C255"/>
    <mergeCell ref="B223:B225"/>
    <mergeCell ref="C214:C216"/>
    <mergeCell ref="B196:B198"/>
    <mergeCell ref="I298:I300"/>
    <mergeCell ref="H304:H306"/>
    <mergeCell ref="C313:C315"/>
    <mergeCell ref="I304:I306"/>
    <mergeCell ref="I316:I318"/>
    <mergeCell ref="H265:H267"/>
    <mergeCell ref="H274:H276"/>
    <mergeCell ref="H271:H273"/>
    <mergeCell ref="I271:I273"/>
    <mergeCell ref="I292:I294"/>
    <mergeCell ref="H295:H297"/>
    <mergeCell ref="C292:C294"/>
    <mergeCell ref="C289:C291"/>
    <mergeCell ref="C310:C312"/>
    <mergeCell ref="C283:C285"/>
    <mergeCell ref="C307:C309"/>
    <mergeCell ref="I265:I267"/>
    <mergeCell ref="H268:H270"/>
    <mergeCell ref="I301:I303"/>
    <mergeCell ref="I277:I279"/>
    <mergeCell ref="C316:C318"/>
    <mergeCell ref="B140:B141"/>
    <mergeCell ref="B146:B147"/>
    <mergeCell ref="A138:A139"/>
    <mergeCell ref="A150:A151"/>
    <mergeCell ref="B148:B149"/>
    <mergeCell ref="B156:B157"/>
    <mergeCell ref="B152:B153"/>
    <mergeCell ref="A158:A159"/>
    <mergeCell ref="A146:A147"/>
    <mergeCell ref="A148:A149"/>
    <mergeCell ref="B150:B151"/>
    <mergeCell ref="A176:A177"/>
    <mergeCell ref="B193:B195"/>
    <mergeCell ref="B180:B181"/>
    <mergeCell ref="A172:A173"/>
    <mergeCell ref="A182:A183"/>
    <mergeCell ref="B182:B183"/>
    <mergeCell ref="A180:A181"/>
    <mergeCell ref="A170:A171"/>
    <mergeCell ref="A184:A185"/>
    <mergeCell ref="B184:B185"/>
    <mergeCell ref="B154:B155"/>
    <mergeCell ref="B160:B161"/>
    <mergeCell ref="A142:A143"/>
    <mergeCell ref="A152:A153"/>
    <mergeCell ref="B158:B159"/>
    <mergeCell ref="A156:A157"/>
    <mergeCell ref="A154:A155"/>
    <mergeCell ref="A166:A167"/>
    <mergeCell ref="A174:A175"/>
    <mergeCell ref="B168:B169"/>
    <mergeCell ref="B176:B177"/>
    <mergeCell ref="A56:A57"/>
    <mergeCell ref="A60:A61"/>
    <mergeCell ref="C40:C41"/>
    <mergeCell ref="C60:C61"/>
    <mergeCell ref="A54:A55"/>
    <mergeCell ref="A48:A49"/>
    <mergeCell ref="A40:A41"/>
    <mergeCell ref="B56:B57"/>
    <mergeCell ref="B46:B47"/>
    <mergeCell ref="C66:C67"/>
    <mergeCell ref="B80:B81"/>
    <mergeCell ref="B102:B103"/>
    <mergeCell ref="C72:C73"/>
    <mergeCell ref="A76:A77"/>
    <mergeCell ref="C124:C125"/>
    <mergeCell ref="B122:B123"/>
    <mergeCell ref="A68:A69"/>
    <mergeCell ref="B68:B69"/>
    <mergeCell ref="A78:A79"/>
    <mergeCell ref="A80:A81"/>
    <mergeCell ref="B42:B43"/>
    <mergeCell ref="B58:B59"/>
    <mergeCell ref="A44:A45"/>
    <mergeCell ref="B48:B49"/>
    <mergeCell ref="A64:A65"/>
    <mergeCell ref="B60:B61"/>
    <mergeCell ref="B82:B83"/>
    <mergeCell ref="A82:A83"/>
    <mergeCell ref="B84:B85"/>
    <mergeCell ref="C86:C87"/>
    <mergeCell ref="B86:B87"/>
    <mergeCell ref="C82:C83"/>
    <mergeCell ref="A34:A35"/>
    <mergeCell ref="A32:A33"/>
    <mergeCell ref="A28:A29"/>
    <mergeCell ref="A26:A27"/>
    <mergeCell ref="B26:B27"/>
    <mergeCell ref="C26:C27"/>
    <mergeCell ref="H26:H27"/>
    <mergeCell ref="C28:C29"/>
    <mergeCell ref="H28:H29"/>
    <mergeCell ref="H40:H41"/>
    <mergeCell ref="H38:H39"/>
    <mergeCell ref="B38:B39"/>
    <mergeCell ref="C38:C39"/>
    <mergeCell ref="I32:I33"/>
    <mergeCell ref="I30:I31"/>
    <mergeCell ref="I36:I37"/>
    <mergeCell ref="H36:H37"/>
    <mergeCell ref="A38:A39"/>
    <mergeCell ref="I38:I39"/>
    <mergeCell ref="I40:I41"/>
    <mergeCell ref="C32:C33"/>
    <mergeCell ref="A20:A21"/>
    <mergeCell ref="B24:B25"/>
    <mergeCell ref="I22:I23"/>
    <mergeCell ref="B20:B21"/>
    <mergeCell ref="I20:I21"/>
    <mergeCell ref="A24:A25"/>
    <mergeCell ref="C24:C25"/>
    <mergeCell ref="H24:H25"/>
    <mergeCell ref="H32:H33"/>
    <mergeCell ref="H34:H35"/>
    <mergeCell ref="I26:I27"/>
    <mergeCell ref="I56:I57"/>
    <mergeCell ref="C48:C49"/>
    <mergeCell ref="C44:C45"/>
    <mergeCell ref="H46:H47"/>
    <mergeCell ref="H48:H49"/>
    <mergeCell ref="H42:H43"/>
    <mergeCell ref="H52:H53"/>
    <mergeCell ref="H56:H57"/>
    <mergeCell ref="C56:C57"/>
    <mergeCell ref="H50:H51"/>
    <mergeCell ref="A36:A37"/>
    <mergeCell ref="B34:B35"/>
    <mergeCell ref="I46:I47"/>
    <mergeCell ref="I48:I49"/>
    <mergeCell ref="C52:C53"/>
    <mergeCell ref="H54:H55"/>
    <mergeCell ref="A46:A47"/>
    <mergeCell ref="I50:I51"/>
    <mergeCell ref="A22:A23"/>
    <mergeCell ref="A30:A31"/>
    <mergeCell ref="C34:C35"/>
    <mergeCell ref="I44:I45"/>
    <mergeCell ref="B30:B31"/>
    <mergeCell ref="C36:C37"/>
    <mergeCell ref="I24:I25"/>
    <mergeCell ref="C20:C21"/>
    <mergeCell ref="H20:H21"/>
    <mergeCell ref="H22:H23"/>
    <mergeCell ref="B22:B23"/>
    <mergeCell ref="B28:B29"/>
    <mergeCell ref="C14:C15"/>
    <mergeCell ref="H14:H15"/>
    <mergeCell ref="H16:H17"/>
    <mergeCell ref="C22:C23"/>
    <mergeCell ref="H30:H31"/>
    <mergeCell ref="C30:C31"/>
    <mergeCell ref="B36:B37"/>
    <mergeCell ref="B32:B33"/>
    <mergeCell ref="C42:C43"/>
    <mergeCell ref="C16:C17"/>
    <mergeCell ref="H70:H71"/>
    <mergeCell ref="C54:C55"/>
    <mergeCell ref="H44:H45"/>
    <mergeCell ref="I54:I55"/>
    <mergeCell ref="B64:B65"/>
    <mergeCell ref="A62:A63"/>
    <mergeCell ref="I42:I43"/>
    <mergeCell ref="A42:A43"/>
    <mergeCell ref="A52:A53"/>
    <mergeCell ref="B62:B63"/>
    <mergeCell ref="H74:H75"/>
    <mergeCell ref="C74:C75"/>
    <mergeCell ref="H72:H73"/>
    <mergeCell ref="I74:I75"/>
    <mergeCell ref="B74:B75"/>
    <mergeCell ref="I62:I63"/>
    <mergeCell ref="A8:A9"/>
    <mergeCell ref="B8:B9"/>
    <mergeCell ref="C8:C9"/>
    <mergeCell ref="H8:H9"/>
    <mergeCell ref="I8:I9"/>
    <mergeCell ref="B18:B19"/>
    <mergeCell ref="C18:C19"/>
    <mergeCell ref="H18:H19"/>
    <mergeCell ref="I18:I19"/>
    <mergeCell ref="I14:I15"/>
    <mergeCell ref="A14:A15"/>
    <mergeCell ref="B14:B15"/>
    <mergeCell ref="I16:I17"/>
    <mergeCell ref="A18:A19"/>
    <mergeCell ref="A16:A17"/>
    <mergeCell ref="B16:B17"/>
    <mergeCell ref="A10:A11"/>
    <mergeCell ref="B10:B11"/>
    <mergeCell ref="C10:C11"/>
    <mergeCell ref="H10:H11"/>
    <mergeCell ref="I10:I11"/>
    <mergeCell ref="A12:A13"/>
    <mergeCell ref="B12:B13"/>
    <mergeCell ref="C12:C13"/>
    <mergeCell ref="H12:H13"/>
    <mergeCell ref="I12:I13"/>
    <mergeCell ref="H98:H99"/>
    <mergeCell ref="H92:H93"/>
    <mergeCell ref="H94:H95"/>
    <mergeCell ref="I114:I115"/>
    <mergeCell ref="I116:I117"/>
    <mergeCell ref="A100:A109"/>
    <mergeCell ref="I28:I29"/>
    <mergeCell ref="I78:I79"/>
    <mergeCell ref="H76:H77"/>
    <mergeCell ref="I70:I71"/>
    <mergeCell ref="I60:I61"/>
    <mergeCell ref="I52:I53"/>
    <mergeCell ref="C46:C47"/>
    <mergeCell ref="B40:B41"/>
    <mergeCell ref="A50:A51"/>
    <mergeCell ref="C50:C51"/>
    <mergeCell ref="B50:B51"/>
    <mergeCell ref="B54:B55"/>
    <mergeCell ref="B52:B53"/>
    <mergeCell ref="B44:B45"/>
    <mergeCell ref="H58:H59"/>
    <mergeCell ref="H68:H69"/>
    <mergeCell ref="I72:I73"/>
    <mergeCell ref="H66:H67"/>
    <mergeCell ref="H60:H61"/>
    <mergeCell ref="H62:H63"/>
    <mergeCell ref="I66:I67"/>
    <mergeCell ref="I68:I69"/>
    <mergeCell ref="I58:I59"/>
    <mergeCell ref="A58:A59"/>
    <mergeCell ref="C64:C65"/>
    <mergeCell ref="C68:C69"/>
    <mergeCell ref="I94:I95"/>
    <mergeCell ref="I118:I119"/>
    <mergeCell ref="A140:A141"/>
    <mergeCell ref="B126:B127"/>
    <mergeCell ref="C128:C129"/>
    <mergeCell ref="I112:I113"/>
    <mergeCell ref="C80:C81"/>
    <mergeCell ref="B92:B93"/>
    <mergeCell ref="A72:A73"/>
    <mergeCell ref="A66:A67"/>
    <mergeCell ref="C62:C63"/>
    <mergeCell ref="C70:C71"/>
    <mergeCell ref="B66:B67"/>
    <mergeCell ref="C76:C77"/>
    <mergeCell ref="C78:C79"/>
    <mergeCell ref="B76:B77"/>
    <mergeCell ref="B72:B73"/>
    <mergeCell ref="C88:C89"/>
    <mergeCell ref="C94:C95"/>
    <mergeCell ref="C112:C113"/>
    <mergeCell ref="C98:C99"/>
    <mergeCell ref="B106:B107"/>
    <mergeCell ref="C160:C161"/>
    <mergeCell ref="B162:B163"/>
    <mergeCell ref="A70:A71"/>
    <mergeCell ref="B70:B71"/>
    <mergeCell ref="A90:A91"/>
    <mergeCell ref="B90:B91"/>
    <mergeCell ref="A86:A87"/>
    <mergeCell ref="A84:A85"/>
    <mergeCell ref="B96:B97"/>
    <mergeCell ref="B88:B89"/>
    <mergeCell ref="C96:C97"/>
    <mergeCell ref="A74:A75"/>
    <mergeCell ref="C114:C115"/>
    <mergeCell ref="B128:B129"/>
    <mergeCell ref="A144:A145"/>
    <mergeCell ref="C199:C201"/>
    <mergeCell ref="B78:B79"/>
    <mergeCell ref="A88:A89"/>
    <mergeCell ref="B104:B105"/>
    <mergeCell ref="B118:B119"/>
    <mergeCell ref="B120:B121"/>
    <mergeCell ref="B124:B125"/>
    <mergeCell ref="A164:A165"/>
    <mergeCell ref="A168:A169"/>
    <mergeCell ref="A92:A99"/>
    <mergeCell ref="C92:C93"/>
    <mergeCell ref="C90:C91"/>
    <mergeCell ref="B138:B139"/>
    <mergeCell ref="A193:A195"/>
    <mergeCell ref="B114:B115"/>
    <mergeCell ref="A110:A117"/>
    <mergeCell ref="C126:C127"/>
    <mergeCell ref="H134:H135"/>
    <mergeCell ref="C134:C135"/>
    <mergeCell ref="H102:H103"/>
    <mergeCell ref="I98:I99"/>
    <mergeCell ref="I96:I97"/>
    <mergeCell ref="I100:I101"/>
    <mergeCell ref="I108:I109"/>
    <mergeCell ref="H118:H119"/>
    <mergeCell ref="H100:H101"/>
    <mergeCell ref="C104:C105"/>
    <mergeCell ref="B94:B95"/>
    <mergeCell ref="C108:C109"/>
    <mergeCell ref="C102:C103"/>
    <mergeCell ref="B98:B99"/>
    <mergeCell ref="B130:B131"/>
    <mergeCell ref="B134:B135"/>
    <mergeCell ref="B132:B133"/>
    <mergeCell ref="H106:H107"/>
    <mergeCell ref="C106:C107"/>
    <mergeCell ref="C100:C101"/>
    <mergeCell ref="B100:B101"/>
    <mergeCell ref="B108:B109"/>
    <mergeCell ref="I110:I111"/>
    <mergeCell ref="H110:H111"/>
    <mergeCell ref="B112:B113"/>
    <mergeCell ref="B110:B111"/>
    <mergeCell ref="B116:B117"/>
    <mergeCell ref="I104:I105"/>
    <mergeCell ref="H114:H115"/>
    <mergeCell ref="H112:H113"/>
    <mergeCell ref="C118:C119"/>
    <mergeCell ref="H120:H121"/>
    <mergeCell ref="I340:I342"/>
    <mergeCell ref="I373:I375"/>
    <mergeCell ref="I352:I354"/>
    <mergeCell ref="I346:I348"/>
    <mergeCell ref="I343:I345"/>
    <mergeCell ref="I385:I387"/>
    <mergeCell ref="I322:I324"/>
    <mergeCell ref="I448:I450"/>
    <mergeCell ref="I331:I333"/>
    <mergeCell ref="H253:H255"/>
    <mergeCell ref="C277:C279"/>
    <mergeCell ref="C268:C270"/>
    <mergeCell ref="H301:H303"/>
    <mergeCell ref="I286:I288"/>
    <mergeCell ref="H292:H294"/>
    <mergeCell ref="I427:I429"/>
    <mergeCell ref="H376:H378"/>
    <mergeCell ref="I349:I351"/>
    <mergeCell ref="C391:C393"/>
    <mergeCell ref="C400:C402"/>
    <mergeCell ref="H319:H321"/>
    <mergeCell ref="C325:C327"/>
    <mergeCell ref="I283:I285"/>
    <mergeCell ref="H262:H264"/>
    <mergeCell ref="I262:I264"/>
    <mergeCell ref="I307:I309"/>
    <mergeCell ref="I268:I270"/>
    <mergeCell ref="I274:I276"/>
    <mergeCell ref="I295:I297"/>
    <mergeCell ref="H280:H282"/>
    <mergeCell ref="H307:H309"/>
    <mergeCell ref="H298:H300"/>
    <mergeCell ref="C120:C121"/>
    <mergeCell ref="C337:C339"/>
    <mergeCell ref="C376:C378"/>
    <mergeCell ref="C346:C348"/>
    <mergeCell ref="C373:C375"/>
    <mergeCell ref="H328:H330"/>
    <mergeCell ref="I328:I330"/>
    <mergeCell ref="H331:H333"/>
    <mergeCell ref="I319:I321"/>
    <mergeCell ref="I364:I366"/>
    <mergeCell ref="H146:H147"/>
    <mergeCell ref="C168:C169"/>
    <mergeCell ref="I146:I147"/>
    <mergeCell ref="H116:H117"/>
    <mergeCell ref="H250:H252"/>
    <mergeCell ref="H286:H288"/>
    <mergeCell ref="H277:H279"/>
    <mergeCell ref="C322:C324"/>
    <mergeCell ref="I289:I291"/>
    <mergeCell ref="C265:C267"/>
    <mergeCell ref="C178:C179"/>
    <mergeCell ref="C182:C183"/>
    <mergeCell ref="I176:I177"/>
    <mergeCell ref="H166:H167"/>
    <mergeCell ref="I170:I171"/>
    <mergeCell ref="I217:I219"/>
    <mergeCell ref="I235:I237"/>
    <mergeCell ref="I223:I225"/>
    <mergeCell ref="C146:C147"/>
    <mergeCell ref="H340:H342"/>
    <mergeCell ref="I180:I181"/>
    <mergeCell ref="H205:H207"/>
    <mergeCell ref="I466:I468"/>
    <mergeCell ref="B370:B372"/>
    <mergeCell ref="H373:H375"/>
    <mergeCell ref="H364:H366"/>
    <mergeCell ref="C352:C354"/>
    <mergeCell ref="H469:H471"/>
    <mergeCell ref="H445:H447"/>
    <mergeCell ref="H448:H450"/>
    <mergeCell ref="B217:B219"/>
    <mergeCell ref="I244:I246"/>
    <mergeCell ref="I150:I151"/>
    <mergeCell ref="B170:B171"/>
    <mergeCell ref="H193:H195"/>
    <mergeCell ref="C152:C153"/>
    <mergeCell ref="B166:B167"/>
    <mergeCell ref="I182:I183"/>
    <mergeCell ref="C174:C175"/>
    <mergeCell ref="C172:C173"/>
    <mergeCell ref="C162:C163"/>
    <mergeCell ref="C180:C181"/>
    <mergeCell ref="B178:B179"/>
    <mergeCell ref="B190:B192"/>
    <mergeCell ref="B469:B471"/>
    <mergeCell ref="B379:B381"/>
    <mergeCell ref="B367:B369"/>
    <mergeCell ref="H322:H324"/>
    <mergeCell ref="H313:H315"/>
    <mergeCell ref="I196:I198"/>
    <mergeCell ref="B334:B336"/>
    <mergeCell ref="I310:I312"/>
    <mergeCell ref="B172:B173"/>
    <mergeCell ref="H430:H432"/>
    <mergeCell ref="B142:B143"/>
    <mergeCell ref="B144:B145"/>
    <mergeCell ref="C190:C192"/>
    <mergeCell ref="C166:C167"/>
    <mergeCell ref="A160:A161"/>
    <mergeCell ref="B188:B189"/>
    <mergeCell ref="B174:B175"/>
    <mergeCell ref="B164:B165"/>
    <mergeCell ref="A162:A163"/>
    <mergeCell ref="A178:A179"/>
    <mergeCell ref="B136:B137"/>
    <mergeCell ref="I477:I478"/>
    <mergeCell ref="H463:H465"/>
    <mergeCell ref="H475:H476"/>
    <mergeCell ref="H370:H372"/>
    <mergeCell ref="I481:I482"/>
    <mergeCell ref="B340:B342"/>
    <mergeCell ref="B343:B345"/>
    <mergeCell ref="B331:B333"/>
    <mergeCell ref="H382:H384"/>
    <mergeCell ref="H409:H411"/>
    <mergeCell ref="C409:C411"/>
    <mergeCell ref="C403:C405"/>
    <mergeCell ref="H403:H405"/>
    <mergeCell ref="I403:I405"/>
    <mergeCell ref="B457:B459"/>
    <mergeCell ref="C364:C366"/>
    <mergeCell ref="C379:C381"/>
    <mergeCell ref="B361:B363"/>
    <mergeCell ref="B454:B456"/>
    <mergeCell ref="B466:B468"/>
    <mergeCell ref="B424:B426"/>
    <mergeCell ref="B406:B408"/>
    <mergeCell ref="B475:B476"/>
    <mergeCell ref="B472:B474"/>
    <mergeCell ref="H451:H453"/>
    <mergeCell ref="I430:I432"/>
    <mergeCell ref="I400:I402"/>
    <mergeCell ref="C361:C363"/>
    <mergeCell ref="B400:B402"/>
    <mergeCell ref="H394:H396"/>
    <mergeCell ref="H481:H482"/>
    <mergeCell ref="C519:C520"/>
    <mergeCell ref="H519:H520"/>
    <mergeCell ref="I519:I520"/>
    <mergeCell ref="I497:I498"/>
    <mergeCell ref="H501:H502"/>
    <mergeCell ref="I517:I518"/>
    <mergeCell ref="C517:C518"/>
    <mergeCell ref="H517:H518"/>
    <mergeCell ref="I507:I508"/>
    <mergeCell ref="H479:H480"/>
    <mergeCell ref="H472:H474"/>
    <mergeCell ref="H466:H468"/>
    <mergeCell ref="C475:C476"/>
    <mergeCell ref="I361:I363"/>
    <mergeCell ref="I460:I462"/>
    <mergeCell ref="I379:I381"/>
    <mergeCell ref="I439:I441"/>
    <mergeCell ref="I454:I456"/>
    <mergeCell ref="I394:I396"/>
    <mergeCell ref="I397:I399"/>
    <mergeCell ref="I382:I384"/>
    <mergeCell ref="I445:I447"/>
    <mergeCell ref="I521:I522"/>
    <mergeCell ref="H499:H500"/>
    <mergeCell ref="A495:A496"/>
    <mergeCell ref="A509:A510"/>
    <mergeCell ref="A505:A506"/>
    <mergeCell ref="B507:B508"/>
    <mergeCell ref="C499:C500"/>
    <mergeCell ref="C501:C502"/>
    <mergeCell ref="B515:B516"/>
    <mergeCell ref="C511:C512"/>
    <mergeCell ref="C509:C510"/>
    <mergeCell ref="I509:I510"/>
    <mergeCell ref="H495:H496"/>
    <mergeCell ref="C515:C516"/>
    <mergeCell ref="I501:I502"/>
    <mergeCell ref="I499:I500"/>
    <mergeCell ref="H497:H498"/>
    <mergeCell ref="B505:B506"/>
    <mergeCell ref="A519:A520"/>
    <mergeCell ref="I495:I496"/>
    <mergeCell ref="A501:A502"/>
    <mergeCell ref="C497:C498"/>
    <mergeCell ref="A499:A500"/>
    <mergeCell ref="B501:B502"/>
    <mergeCell ref="A515:A516"/>
    <mergeCell ref="B497:B498"/>
    <mergeCell ref="A513:A514"/>
    <mergeCell ref="B513:B514"/>
    <mergeCell ref="C513:C514"/>
    <mergeCell ref="H513:H514"/>
    <mergeCell ref="I513:I514"/>
    <mergeCell ref="C523:C524"/>
    <mergeCell ref="I505:I506"/>
    <mergeCell ref="H509:H510"/>
    <mergeCell ref="I511:I512"/>
    <mergeCell ref="I485:I486"/>
    <mergeCell ref="I523:I524"/>
    <mergeCell ref="A507:A508"/>
    <mergeCell ref="H505:H506"/>
    <mergeCell ref="C503:C504"/>
    <mergeCell ref="H523:H524"/>
    <mergeCell ref="C521:C522"/>
    <mergeCell ref="H491:H492"/>
    <mergeCell ref="I491:I492"/>
    <mergeCell ref="C491:C492"/>
    <mergeCell ref="H485:H486"/>
    <mergeCell ref="I489:I490"/>
    <mergeCell ref="I503:I504"/>
    <mergeCell ref="A511:A512"/>
    <mergeCell ref="B511:B512"/>
    <mergeCell ref="H493:H494"/>
    <mergeCell ref="B521:B522"/>
    <mergeCell ref="H521:H522"/>
    <mergeCell ref="H515:H516"/>
    <mergeCell ref="I515:I516"/>
    <mergeCell ref="H511:H512"/>
    <mergeCell ref="B509:B510"/>
    <mergeCell ref="B519:B520"/>
    <mergeCell ref="A517:A518"/>
    <mergeCell ref="A503:A504"/>
    <mergeCell ref="B503:B504"/>
    <mergeCell ref="C505:C506"/>
    <mergeCell ref="A523:A524"/>
    <mergeCell ref="A489:A490"/>
    <mergeCell ref="A487:A488"/>
    <mergeCell ref="B487:B488"/>
    <mergeCell ref="C487:C488"/>
    <mergeCell ref="C485:C486"/>
    <mergeCell ref="C489:C490"/>
    <mergeCell ref="B479:B480"/>
    <mergeCell ref="A479:A480"/>
    <mergeCell ref="B477:B478"/>
    <mergeCell ref="A391:A393"/>
    <mergeCell ref="A385:A387"/>
    <mergeCell ref="H483:H484"/>
    <mergeCell ref="H489:H490"/>
    <mergeCell ref="A361:A363"/>
    <mergeCell ref="C367:C369"/>
    <mergeCell ref="A367:A369"/>
    <mergeCell ref="H487:H488"/>
    <mergeCell ref="A485:A486"/>
    <mergeCell ref="C477:C478"/>
    <mergeCell ref="A403:A405"/>
    <mergeCell ref="B403:B405"/>
    <mergeCell ref="A475:A476"/>
    <mergeCell ref="C442:C444"/>
    <mergeCell ref="A463:A465"/>
    <mergeCell ref="C463:C465"/>
    <mergeCell ref="A427:A429"/>
    <mergeCell ref="C481:C482"/>
    <mergeCell ref="A466:A468"/>
    <mergeCell ref="B489:B490"/>
    <mergeCell ref="A481:A482"/>
    <mergeCell ref="B481:B482"/>
    <mergeCell ref="B460:B462"/>
    <mergeCell ref="B523:B524"/>
    <mergeCell ref="A497:A498"/>
    <mergeCell ref="A521:A522"/>
    <mergeCell ref="B337:B339"/>
    <mergeCell ref="B298:B300"/>
    <mergeCell ref="C507:C508"/>
    <mergeCell ref="H507:H508"/>
    <mergeCell ref="H503:H504"/>
    <mergeCell ref="A477:A478"/>
    <mergeCell ref="B483:B484"/>
    <mergeCell ref="C495:C496"/>
    <mergeCell ref="B493:B494"/>
    <mergeCell ref="A491:A492"/>
    <mergeCell ref="B491:B492"/>
    <mergeCell ref="B485:B486"/>
    <mergeCell ref="A493:A494"/>
    <mergeCell ref="A483:A484"/>
    <mergeCell ref="C483:C484"/>
    <mergeCell ref="H361:H363"/>
    <mergeCell ref="C298:C300"/>
    <mergeCell ref="A400:A402"/>
    <mergeCell ref="A373:A375"/>
    <mergeCell ref="B373:B375"/>
    <mergeCell ref="B517:B518"/>
    <mergeCell ref="B495:B496"/>
    <mergeCell ref="A430:A432"/>
    <mergeCell ref="C469:C471"/>
    <mergeCell ref="B499:B500"/>
    <mergeCell ref="B358:B360"/>
    <mergeCell ref="A460:A462"/>
    <mergeCell ref="B436:B438"/>
    <mergeCell ref="A439:A441"/>
    <mergeCell ref="A451:A453"/>
    <mergeCell ref="C493:C494"/>
    <mergeCell ref="A364:A366"/>
    <mergeCell ref="C394:C396"/>
    <mergeCell ref="C479:C480"/>
    <mergeCell ref="A469:A471"/>
    <mergeCell ref="A406:A408"/>
    <mergeCell ref="A376:A378"/>
    <mergeCell ref="B376:B378"/>
    <mergeCell ref="C370:C372"/>
    <mergeCell ref="C472:C474"/>
    <mergeCell ref="B445:B447"/>
    <mergeCell ref="A397:A399"/>
    <mergeCell ref="C397:C399"/>
    <mergeCell ref="C457:C459"/>
    <mergeCell ref="I487:I488"/>
    <mergeCell ref="I367:I369"/>
    <mergeCell ref="B418:B420"/>
    <mergeCell ref="H388:H390"/>
    <mergeCell ref="A445:A447"/>
    <mergeCell ref="A382:A384"/>
    <mergeCell ref="B388:B390"/>
    <mergeCell ref="A442:A444"/>
    <mergeCell ref="A433:A435"/>
    <mergeCell ref="B433:B435"/>
    <mergeCell ref="C433:C435"/>
    <mergeCell ref="A454:A456"/>
    <mergeCell ref="I451:I453"/>
    <mergeCell ref="A424:A426"/>
    <mergeCell ref="H454:H456"/>
    <mergeCell ref="I463:I465"/>
    <mergeCell ref="I457:I459"/>
    <mergeCell ref="A346:A348"/>
    <mergeCell ref="B346:B348"/>
    <mergeCell ref="H346:H348"/>
    <mergeCell ref="H349:H351"/>
    <mergeCell ref="C460:C462"/>
    <mergeCell ref="C466:C468"/>
    <mergeCell ref="H400:H402"/>
    <mergeCell ref="I409:I411"/>
    <mergeCell ref="I442:I444"/>
    <mergeCell ref="B391:B393"/>
    <mergeCell ref="C382:C384"/>
    <mergeCell ref="C385:C387"/>
    <mergeCell ref="B382:B384"/>
    <mergeCell ref="I483:I484"/>
    <mergeCell ref="H367:H369"/>
    <mergeCell ref="A394:A396"/>
    <mergeCell ref="C445:C447"/>
    <mergeCell ref="C451:C453"/>
    <mergeCell ref="A436:A438"/>
    <mergeCell ref="A472:A474"/>
    <mergeCell ref="H379:H381"/>
    <mergeCell ref="B442:B444"/>
    <mergeCell ref="I479:I480"/>
    <mergeCell ref="H477:H478"/>
    <mergeCell ref="H421:H423"/>
    <mergeCell ref="H391:H393"/>
    <mergeCell ref="H457:H459"/>
    <mergeCell ref="I469:I471"/>
    <mergeCell ref="I475:I476"/>
    <mergeCell ref="A379:A381"/>
    <mergeCell ref="H442:H444"/>
    <mergeCell ref="H424:H426"/>
    <mergeCell ref="I418:I420"/>
    <mergeCell ref="I415:I417"/>
    <mergeCell ref="I406:I408"/>
    <mergeCell ref="B463:B465"/>
    <mergeCell ref="C454:C456"/>
    <mergeCell ref="C427:C429"/>
    <mergeCell ref="I493:I494"/>
    <mergeCell ref="I370:I372"/>
    <mergeCell ref="I376:I378"/>
    <mergeCell ref="I388:I390"/>
    <mergeCell ref="I472:I474"/>
    <mergeCell ref="H82:H83"/>
    <mergeCell ref="H78:H79"/>
    <mergeCell ref="I76:I77"/>
    <mergeCell ref="H132:H133"/>
    <mergeCell ref="I134:I135"/>
    <mergeCell ref="H130:H131"/>
    <mergeCell ref="C136:C137"/>
    <mergeCell ref="I256:I258"/>
    <mergeCell ref="I250:I252"/>
    <mergeCell ref="C241:C243"/>
    <mergeCell ref="H334:H336"/>
    <mergeCell ref="H283:H285"/>
    <mergeCell ref="H358:H360"/>
    <mergeCell ref="I358:I360"/>
    <mergeCell ref="I313:I315"/>
    <mergeCell ref="C232:C234"/>
    <mergeCell ref="C238:C240"/>
    <mergeCell ref="I164:I165"/>
    <mergeCell ref="I152:I153"/>
    <mergeCell ref="H128:H129"/>
    <mergeCell ref="B349:B351"/>
    <mergeCell ref="H208:H210"/>
    <mergeCell ref="I214:I216"/>
    <mergeCell ref="H136:H137"/>
    <mergeCell ref="H126:H127"/>
    <mergeCell ref="C1:I6"/>
    <mergeCell ref="I160:I161"/>
    <mergeCell ref="H138:H139"/>
    <mergeCell ref="C154:C155"/>
    <mergeCell ref="C148:C149"/>
    <mergeCell ref="C142:C143"/>
    <mergeCell ref="I136:I137"/>
    <mergeCell ref="I34:I35"/>
    <mergeCell ref="I154:I155"/>
    <mergeCell ref="I148:I149"/>
    <mergeCell ref="I158:I159"/>
    <mergeCell ref="C156:C157"/>
    <mergeCell ref="C58:C59"/>
    <mergeCell ref="H64:H65"/>
    <mergeCell ref="I64:I65"/>
    <mergeCell ref="I92:I93"/>
    <mergeCell ref="H122:H123"/>
    <mergeCell ref="I82:I83"/>
    <mergeCell ref="I84:I85"/>
    <mergeCell ref="I88:I89"/>
    <mergeCell ref="H150:H151"/>
    <mergeCell ref="H140:H141"/>
    <mergeCell ref="H156:H157"/>
    <mergeCell ref="I80:I81"/>
    <mergeCell ref="I86:I87"/>
    <mergeCell ref="I90:I91"/>
    <mergeCell ref="H108:H109"/>
    <mergeCell ref="I102:I103"/>
    <mergeCell ref="I106:I107"/>
    <mergeCell ref="H80:H81"/>
    <mergeCell ref="C84:C85"/>
    <mergeCell ref="H84:H85"/>
    <mergeCell ref="H162:H163"/>
    <mergeCell ref="I166:I167"/>
    <mergeCell ref="I162:I163"/>
    <mergeCell ref="I188:I189"/>
    <mergeCell ref="I193:I195"/>
    <mergeCell ref="I202:I204"/>
    <mergeCell ref="C193:C195"/>
    <mergeCell ref="C130:C131"/>
    <mergeCell ref="I140:I141"/>
    <mergeCell ref="I142:I143"/>
    <mergeCell ref="C144:C145"/>
    <mergeCell ref="C138:C139"/>
    <mergeCell ref="H144:H145"/>
    <mergeCell ref="C164:C165"/>
    <mergeCell ref="I132:I133"/>
    <mergeCell ref="C140:C141"/>
    <mergeCell ref="I122:I123"/>
    <mergeCell ref="C122:C123"/>
    <mergeCell ref="I130:I131"/>
    <mergeCell ref="I138:I139"/>
    <mergeCell ref="H188:H189"/>
    <mergeCell ref="I128:I129"/>
    <mergeCell ref="H148:H149"/>
    <mergeCell ref="I199:I201"/>
    <mergeCell ref="H170:H171"/>
    <mergeCell ref="C196:C198"/>
    <mergeCell ref="H180:H181"/>
    <mergeCell ref="H124:H125"/>
    <mergeCell ref="H184:H185"/>
    <mergeCell ref="H176:H177"/>
    <mergeCell ref="H202:H204"/>
    <mergeCell ref="C202:C204"/>
    <mergeCell ref="C217:C219"/>
    <mergeCell ref="H244:H246"/>
    <mergeCell ref="H238:H240"/>
    <mergeCell ref="H232:H234"/>
    <mergeCell ref="I226:I228"/>
    <mergeCell ref="I229:I231"/>
    <mergeCell ref="H178:H179"/>
    <mergeCell ref="I178:I179"/>
    <mergeCell ref="H182:H183"/>
    <mergeCell ref="H86:H87"/>
    <mergeCell ref="H160:H161"/>
    <mergeCell ref="I120:I121"/>
    <mergeCell ref="I126:I127"/>
    <mergeCell ref="H174:H175"/>
    <mergeCell ref="I144:I145"/>
    <mergeCell ref="I168:I169"/>
    <mergeCell ref="I172:I173"/>
    <mergeCell ref="I184:I185"/>
    <mergeCell ref="H172:H173"/>
    <mergeCell ref="H104:H105"/>
    <mergeCell ref="H88:H89"/>
    <mergeCell ref="H90:H91"/>
    <mergeCell ref="H199:H201"/>
    <mergeCell ref="I124:I125"/>
    <mergeCell ref="C110:C111"/>
    <mergeCell ref="C205:C207"/>
    <mergeCell ref="C176:C177"/>
    <mergeCell ref="C150:C151"/>
    <mergeCell ref="H460:H462"/>
    <mergeCell ref="C418:C420"/>
    <mergeCell ref="B397:B399"/>
    <mergeCell ref="C430:C432"/>
    <mergeCell ref="A448:A450"/>
    <mergeCell ref="B448:B450"/>
    <mergeCell ref="C448:C450"/>
    <mergeCell ref="A457:A459"/>
    <mergeCell ref="B352:B354"/>
    <mergeCell ref="C116:C117"/>
    <mergeCell ref="H96:H97"/>
    <mergeCell ref="H152:H153"/>
    <mergeCell ref="H164:H165"/>
    <mergeCell ref="H158:H159"/>
    <mergeCell ref="I208:I210"/>
    <mergeCell ref="C235:C237"/>
    <mergeCell ref="I280:I282"/>
    <mergeCell ref="I211:I213"/>
    <mergeCell ref="I190:I192"/>
    <mergeCell ref="H220:H222"/>
    <mergeCell ref="C158:C159"/>
    <mergeCell ref="I247:I249"/>
    <mergeCell ref="I238:I240"/>
    <mergeCell ref="I259:I261"/>
    <mergeCell ref="H226:H228"/>
    <mergeCell ref="H235:H237"/>
    <mergeCell ref="H217:H219"/>
    <mergeCell ref="H241:H243"/>
    <mergeCell ref="I241:I243"/>
    <mergeCell ref="H229:H231"/>
    <mergeCell ref="I220:I222"/>
    <mergeCell ref="A325:A327"/>
    <mergeCell ref="A352:A354"/>
    <mergeCell ref="A358:A360"/>
    <mergeCell ref="B325:B327"/>
    <mergeCell ref="B319:B321"/>
    <mergeCell ref="C334:C336"/>
    <mergeCell ref="H196:H198"/>
    <mergeCell ref="I421:I423"/>
    <mergeCell ref="A349:A351"/>
    <mergeCell ref="B451:B453"/>
    <mergeCell ref="B385:B387"/>
    <mergeCell ref="C358:C360"/>
    <mergeCell ref="H412:H414"/>
    <mergeCell ref="B421:B423"/>
    <mergeCell ref="B430:B432"/>
    <mergeCell ref="C436:C438"/>
    <mergeCell ref="H406:H408"/>
    <mergeCell ref="C388:C390"/>
    <mergeCell ref="I391:I393"/>
    <mergeCell ref="B415:B417"/>
    <mergeCell ref="H439:H441"/>
    <mergeCell ref="C424:C426"/>
    <mergeCell ref="I232:I234"/>
    <mergeCell ref="I205:I207"/>
    <mergeCell ref="C412:C414"/>
    <mergeCell ref="C421:C423"/>
    <mergeCell ref="B202:B204"/>
    <mergeCell ref="A202:A204"/>
    <mergeCell ref="I436:I438"/>
    <mergeCell ref="H310:H312"/>
    <mergeCell ref="H433:H435"/>
    <mergeCell ref="I433:I435"/>
    <mergeCell ref="I253:I255"/>
    <mergeCell ref="H168:H169"/>
    <mergeCell ref="A340:A342"/>
    <mergeCell ref="A343:A345"/>
    <mergeCell ref="A331:A333"/>
    <mergeCell ref="C439:C441"/>
    <mergeCell ref="H427:H429"/>
    <mergeCell ref="H325:H327"/>
    <mergeCell ref="C349:C351"/>
    <mergeCell ref="C343:C345"/>
    <mergeCell ref="H343:H345"/>
    <mergeCell ref="H352:H354"/>
    <mergeCell ref="I337:I339"/>
    <mergeCell ref="I334:I336"/>
    <mergeCell ref="A334:A336"/>
    <mergeCell ref="A337:A339"/>
    <mergeCell ref="A409:A411"/>
    <mergeCell ref="B412:B414"/>
    <mergeCell ref="A388:A390"/>
    <mergeCell ref="B364:B366"/>
    <mergeCell ref="C331:C333"/>
    <mergeCell ref="A370:A372"/>
    <mergeCell ref="B439:B441"/>
    <mergeCell ref="H418:H420"/>
    <mergeCell ref="H337:H339"/>
    <mergeCell ref="C340:C342"/>
    <mergeCell ref="B394:B396"/>
    <mergeCell ref="B409:B411"/>
    <mergeCell ref="A418:A420"/>
    <mergeCell ref="I325:I327"/>
    <mergeCell ref="H436:H438"/>
    <mergeCell ref="H397:H399"/>
    <mergeCell ref="B328:B330"/>
    <mergeCell ref="J517:L520"/>
    <mergeCell ref="J70:K71"/>
    <mergeCell ref="A415:A417"/>
    <mergeCell ref="C415:C417"/>
    <mergeCell ref="J418:K420"/>
    <mergeCell ref="J340:K342"/>
    <mergeCell ref="J361:K363"/>
    <mergeCell ref="J346:K348"/>
    <mergeCell ref="H415:H417"/>
    <mergeCell ref="B427:B429"/>
    <mergeCell ref="A355:A357"/>
    <mergeCell ref="B355:B357"/>
    <mergeCell ref="C355:C357"/>
    <mergeCell ref="H355:H357"/>
    <mergeCell ref="I355:I357"/>
    <mergeCell ref="H385:H387"/>
    <mergeCell ref="A277:A279"/>
    <mergeCell ref="A244:A246"/>
    <mergeCell ref="A271:A273"/>
    <mergeCell ref="A118:A129"/>
    <mergeCell ref="A130:A137"/>
    <mergeCell ref="H154:H155"/>
    <mergeCell ref="I156:I157"/>
    <mergeCell ref="C132:C133"/>
    <mergeCell ref="C406:C408"/>
    <mergeCell ref="A421:A423"/>
    <mergeCell ref="A412:A414"/>
    <mergeCell ref="H316:H318"/>
    <mergeCell ref="I412:I414"/>
    <mergeCell ref="I424:I426"/>
    <mergeCell ref="H142:H143"/>
    <mergeCell ref="I174:I175"/>
  </mergeCells>
  <phoneticPr fontId="2" type="noConversion"/>
  <conditionalFormatting sqref="D34:E34">
    <cfRule type="containsErrors" dxfId="1" priority="2">
      <formula>ISERROR(D34)</formula>
    </cfRule>
  </conditionalFormatting>
  <conditionalFormatting sqref="F34">
    <cfRule type="containsErrors" dxfId="0" priority="1">
      <formula>ISERROR(F34)</formula>
    </cfRule>
  </conditionalFormatting>
  <printOptions horizontalCentered="1"/>
  <pageMargins left="0.19685039370078741" right="0.19685039370078741" top="0.19685039370078741" bottom="0.19685039370078741" header="0.31496062992125984" footer="0.31496062992125984"/>
  <pageSetup paperSize="9" scale="60" fitToHeight="0" orientation="landscape" verticalDpi="1200" r:id="rId1"/>
  <rowBreaks count="17" manualBreakCount="17">
    <brk id="29" max="8" man="1"/>
    <brk id="57" max="8" man="1"/>
    <brk id="87" max="8" man="1"/>
    <brk id="117" max="8" man="1"/>
    <brk id="147" max="8" man="1"/>
    <brk id="175" max="8" man="1"/>
    <brk id="207" max="8" man="1"/>
    <brk id="237" max="8" man="1"/>
    <brk id="267" max="8" man="1"/>
    <brk id="297" max="8" man="1"/>
    <brk id="324" max="8" man="1"/>
    <brk id="357" max="8" man="1"/>
    <brk id="390" max="8" man="1"/>
    <brk id="423" max="8" man="1"/>
    <brk id="450" max="8" man="1"/>
    <brk id="478" max="8" man="1"/>
    <brk id="508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0" sqref="B10"/>
    </sheetView>
  </sheetViews>
  <sheetFormatPr defaultRowHeight="16.5"/>
  <sheetData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L75SA9NA_FDY</vt:lpstr>
      <vt:lpstr>Sheet1</vt:lpstr>
      <vt:lpstr>L75SA9NA_FDY!Print_Area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DongYang Inc</dc:creator>
  <cp:lastModifiedBy>DP202012002</cp:lastModifiedBy>
  <cp:lastPrinted>2023-05-25T06:08:30Z</cp:lastPrinted>
  <dcterms:created xsi:type="dcterms:W3CDTF">2014-05-13T10:54:35Z</dcterms:created>
  <dcterms:modified xsi:type="dcterms:W3CDTF">2026-03-24T01:36:49Z</dcterms:modified>
</cp:coreProperties>
</file>